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gasnatural.sharepoint.com/sites/Composicinexternadocumentos/Documentos compartidos/General/Proyecto Comercializadión_ 2025/3. Plan de Pruebas/"/>
    </mc:Choice>
  </mc:AlternateContent>
  <xr:revisionPtr revIDLastSave="278" documentId="13_ncr:1_{A740AC00-9348-42D6-B5C5-B53B5CB5D6E6}" xr6:coauthVersionLast="47" xr6:coauthVersionMax="47" xr10:uidLastSave="{976AD875-02B9-469A-BC84-0A250AA9267D}"/>
  <bookViews>
    <workbookView xWindow="-120" yWindow="-120" windowWidth="29040" windowHeight="15720" tabRatio="836" firstSheet="9" activeTab="9" xr2:uid="{00000000-000D-0000-FFFF-FFFF00000000}"/>
  </bookViews>
  <sheets>
    <sheet name="Resumen Avance" sheetId="16" r:id="rId1"/>
    <sheet name="Facturas SAP NI" sheetId="13" r:id="rId2"/>
    <sheet name="Facturas GNCOM" sheetId="10" r:id="rId3"/>
    <sheet name="Cartas GNCOM" sheetId="9" r:id="rId4"/>
    <sheet name="Facturas GNCOMP" sheetId="12" r:id="rId5"/>
    <sheet name="Cartas GNOMP" sheetId="11" r:id="rId6"/>
    <sheet name="Facturas CRGP" sheetId="8" r:id="rId7"/>
    <sheet name="Cartas CRGP" sheetId="6" r:id="rId8"/>
    <sheet name="Contratos CRGP" sheetId="7" r:id="rId9"/>
    <sheet name="MEGA" sheetId="14" r:id="rId10"/>
    <sheet name="Listados" sheetId="15" state="hidden" r:id="rId11"/>
  </sheets>
  <externalReferences>
    <externalReference r:id="rId12"/>
  </externalReferences>
  <definedNames>
    <definedName name="_xlnm._FilterDatabase" localSheetId="7" hidden="1">'Cartas CRGP'!$A$1:$S$37</definedName>
    <definedName name="_xlnm._FilterDatabase" localSheetId="6" hidden="1">'Facturas CRGP'!$F$1:$F$98</definedName>
    <definedName name="_xlnm._FilterDatabase" localSheetId="2" hidden="1">'Facturas GNCOM'!$A$1:$R$43</definedName>
    <definedName name="_xlnm._FilterDatabase" localSheetId="1" hidden="1">'Facturas SAP NI'!$A$1:$U$80</definedName>
    <definedName name="_xlnm._FilterDatabase" localSheetId="9" hidden="1">MEGA!$A$3:$AL$55</definedName>
    <definedName name="Criticidad">'[1]Tablas valores'!$B$2:$B$4</definedName>
    <definedName name="estadocdp">'[1]Tablas valores'!$D$2:$D$5</definedName>
    <definedName name="tipocdp">'[1]Tablas valores'!$C$2:$C$3</definedName>
    <definedName name="Tipoejecucion">'[1]Tablas valores'!$A$2:$A$3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62" i="14" l="1"/>
  <c r="AL61" i="14"/>
  <c r="AL60" i="14"/>
  <c r="AL59" i="14"/>
  <c r="AL58" i="14"/>
  <c r="E12" i="16"/>
  <c r="G12" i="16"/>
  <c r="G4" i="16"/>
  <c r="P43" i="10"/>
  <c r="C5" i="16" s="1"/>
  <c r="P40" i="10"/>
  <c r="F5" i="16" s="1"/>
  <c r="F11" i="16"/>
  <c r="E11" i="16"/>
  <c r="D11" i="16"/>
  <c r="C11" i="16"/>
  <c r="F10" i="16"/>
  <c r="E10" i="16"/>
  <c r="D10" i="16"/>
  <c r="C10" i="16"/>
  <c r="F8" i="16"/>
  <c r="E8" i="16"/>
  <c r="D8" i="16"/>
  <c r="C8" i="16"/>
  <c r="F7" i="16"/>
  <c r="E7" i="16"/>
  <c r="D7" i="16"/>
  <c r="C7" i="16"/>
  <c r="C12" i="16"/>
  <c r="D12" i="16"/>
  <c r="F12" i="16"/>
  <c r="Q11" i="7"/>
  <c r="Q10" i="7"/>
  <c r="Q9" i="7"/>
  <c r="Q8" i="7"/>
  <c r="Q42" i="6"/>
  <c r="Q41" i="6"/>
  <c r="Q40" i="6"/>
  <c r="Q39" i="6"/>
  <c r="R108" i="8"/>
  <c r="C9" i="16" s="1"/>
  <c r="R107" i="8"/>
  <c r="D9" i="16" s="1"/>
  <c r="R106" i="8"/>
  <c r="E9" i="16" s="1"/>
  <c r="R105" i="8"/>
  <c r="F9" i="16" s="1"/>
  <c r="P5" i="11"/>
  <c r="P8" i="11"/>
  <c r="P7" i="11"/>
  <c r="P6" i="11"/>
  <c r="P17" i="12"/>
  <c r="P16" i="12"/>
  <c r="P15" i="12"/>
  <c r="P14" i="12"/>
  <c r="P23" i="9"/>
  <c r="C6" i="16" s="1"/>
  <c r="P22" i="9"/>
  <c r="D6" i="16" s="1"/>
  <c r="P21" i="9"/>
  <c r="E6" i="16" s="1"/>
  <c r="P20" i="9"/>
  <c r="F6" i="16" s="1"/>
  <c r="P42" i="10"/>
  <c r="D5" i="16" s="1"/>
  <c r="P41" i="10"/>
  <c r="E5" i="16" s="1"/>
  <c r="T77" i="13"/>
  <c r="F4" i="16" s="1"/>
  <c r="T78" i="13"/>
  <c r="E4" i="16" s="1"/>
  <c r="T79" i="13"/>
  <c r="D4" i="16" s="1"/>
  <c r="T80" i="13"/>
  <c r="C4" i="16" s="1"/>
  <c r="T76" i="13"/>
  <c r="P39" i="10"/>
  <c r="G5" i="16" s="1"/>
  <c r="P19" i="9"/>
  <c r="G6" i="16" s="1"/>
  <c r="P13" i="12"/>
  <c r="G7" i="16" s="1"/>
  <c r="P4" i="11"/>
  <c r="G8" i="16" s="1"/>
  <c r="R104" i="8"/>
  <c r="G9" i="16" s="1"/>
  <c r="Q38" i="6"/>
  <c r="G10" i="16" s="1"/>
  <c r="Q7" i="7"/>
  <c r="G11" i="16" s="1"/>
  <c r="G30"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G3" i="13"/>
  <c r="G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1" authorId="0" shapeId="0" xr:uid="{41B58A0C-9680-4021-B404-E3A9564E3672}">
      <text>
        <r>
          <rPr>
            <sz val="9"/>
            <color indexed="81"/>
            <rFont val="宋体"/>
            <charset val="134"/>
          </rPr>
          <t>FORMATO 
6 CARACTERES - NUM
"AAAAAA-1"</t>
        </r>
      </text>
    </comment>
  </commentList>
</comments>
</file>

<file path=xl/sharedStrings.xml><?xml version="1.0" encoding="utf-8"?>
<sst xmlns="http://schemas.openxmlformats.org/spreadsheetml/2006/main" count="5650" uniqueCount="1295">
  <si>
    <t>Módulo</t>
  </si>
  <si>
    <t>Casos de prueba</t>
  </si>
  <si>
    <t>OK</t>
  </si>
  <si>
    <t>KO</t>
  </si>
  <si>
    <t>Pendientes</t>
  </si>
  <si>
    <t>Avance</t>
  </si>
  <si>
    <t>Facturas SAP NI</t>
  </si>
  <si>
    <t>Facturas GNCOM</t>
  </si>
  <si>
    <t>Cartas GNCOM</t>
  </si>
  <si>
    <t>Facturas GNCOMP</t>
  </si>
  <si>
    <t>Cartas GNOMP</t>
  </si>
  <si>
    <t>Facturas CRGP</t>
  </si>
  <si>
    <t>Cartas CRGP</t>
  </si>
  <si>
    <t>Contratos CRGP</t>
  </si>
  <si>
    <t>MEGA</t>
  </si>
  <si>
    <t>Sistema / Aplicación</t>
  </si>
  <si>
    <t>Modulo</t>
  </si>
  <si>
    <t>Proceso</t>
  </si>
  <si>
    <t>Subproceso</t>
  </si>
  <si>
    <t>Funcionalidad</t>
  </si>
  <si>
    <t>COD CdP</t>
  </si>
  <si>
    <t>Nombre CdP</t>
  </si>
  <si>
    <t>Resumen</t>
  </si>
  <si>
    <t>Precondiciones</t>
  </si>
  <si>
    <t>Tipo de Ejecución</t>
  </si>
  <si>
    <t>Criticidad</t>
  </si>
  <si>
    <t>Autor</t>
  </si>
  <si>
    <t>Datos del CdP</t>
  </si>
  <si>
    <t>Resultado esperado</t>
  </si>
  <si>
    <t>COMENTARIOS NEGOCIO</t>
  </si>
  <si>
    <t>Responsable</t>
  </si>
  <si>
    <t>Fecha inicio</t>
  </si>
  <si>
    <t>Fecha Fin</t>
  </si>
  <si>
    <t>Fecha Liberado</t>
  </si>
  <si>
    <t>Resultado OK/KO</t>
  </si>
  <si>
    <t>SAP ISU</t>
  </si>
  <si>
    <t>Facturación</t>
  </si>
  <si>
    <t>Facturación ISU</t>
  </si>
  <si>
    <t>Impresión</t>
  </si>
  <si>
    <t>CP_001</t>
  </si>
  <si>
    <t>Impresión factura de ciclo (FE*), sector ELE, tarifa 2.0TD - ES</t>
  </si>
  <si>
    <t>Manual</t>
  </si>
  <si>
    <t>Alta</t>
  </si>
  <si>
    <t>IBM</t>
  </si>
  <si>
    <t xml:space="preserve">Factura: </t>
  </si>
  <si>
    <t>Revisión OK</t>
  </si>
  <si>
    <t>Sergi Monte / Angel Jaime (M. Simón)</t>
  </si>
  <si>
    <t>CP_002</t>
  </si>
  <si>
    <t>Impresión factura de ciclo (FE*), sector ELE, tarifa 2.0TD - CA</t>
  </si>
  <si>
    <t>N/A</t>
  </si>
  <si>
    <t>CP_003</t>
  </si>
  <si>
    <t>Impresión factura de ciclo (FE*), sector ELE, tarifa 2.0TD - EU</t>
  </si>
  <si>
    <t>CP_004</t>
  </si>
  <si>
    <t>Impresión factura de ciclo (FE*), sector ELE, tarifa 2.0TD - GA</t>
  </si>
  <si>
    <t>CP_005</t>
  </si>
  <si>
    <t>Impresión Refacturación (RE*), sector ELE, tarifa 2.0TD - ES</t>
  </si>
  <si>
    <t>CP_006</t>
  </si>
  <si>
    <t>Impresión Refacturación (RE*), sector ELE, tarifa 2.0TD - CA</t>
  </si>
  <si>
    <t>CP_007</t>
  </si>
  <si>
    <t>Impresión Refacturación (RE*), sector ELE, tarifa 2.0TD - EU</t>
  </si>
  <si>
    <t>CP_008</t>
  </si>
  <si>
    <t>Impresión Refacturación (RE*), sector ELE, tarifa 2.0TD - GA</t>
  </si>
  <si>
    <t>CP_009</t>
  </si>
  <si>
    <t>Impresión  factura de anulación (SU*), sector ELE, tarifa 2.0TD -ES</t>
  </si>
  <si>
    <t>CP_010</t>
  </si>
  <si>
    <t>Impresión  factura de anulación (SU*), sector ELE, tarifa 2.0TD -CA</t>
  </si>
  <si>
    <t>CP_011</t>
  </si>
  <si>
    <t>Impresión  factura de anulación (SU*), sector ELE, tarifa 2.0TD -EU</t>
  </si>
  <si>
    <t>CP_012</t>
  </si>
  <si>
    <t>Impresión  factura de anulación (SU*), sector ELE, tarifa 2.0TD -GA</t>
  </si>
  <si>
    <t>CP_013</t>
  </si>
  <si>
    <t>Impresión factura de Ajuste (AE*), sector ELE, tarifa 2.0TD -ES</t>
  </si>
  <si>
    <t>CP_014</t>
  </si>
  <si>
    <t>Impresión factura de Ajuste (AE*), sector ELE, tarifa 2.0TD -CA</t>
  </si>
  <si>
    <t>CP_015</t>
  </si>
  <si>
    <t>Impresión factura de Ajuste (AE*), sector ELE, tarifa 2.0TD -EU</t>
  </si>
  <si>
    <t>CP_016</t>
  </si>
  <si>
    <t>Impresión factura de Ajuste (AE*), sector ELE, tarifa 2.0TD -GA</t>
  </si>
  <si>
    <t>CP_017</t>
  </si>
  <si>
    <t>Impresión factura de ciclo (FE*), sector ELE, tarifa 3.0TD - ES</t>
  </si>
  <si>
    <t>CP_018</t>
  </si>
  <si>
    <t>Impresión factura de ciclo (FE*), sector ELE, tarifa 3.0TD - CA</t>
  </si>
  <si>
    <t>CP_019</t>
  </si>
  <si>
    <t>Impresión factura de ciclo (FE*), sector ELE, tarifa 3.0TD - EU</t>
  </si>
  <si>
    <t>CP_020</t>
  </si>
  <si>
    <t>Impresión factura de ciclo (FE*), sector ELE, tarifa 3.0TD - GA</t>
  </si>
  <si>
    <t>CP_021</t>
  </si>
  <si>
    <t>Impresión Refacturación (RE*), sector ELE, tarifa 3.0TD - ES</t>
  </si>
  <si>
    <t>CP_022</t>
  </si>
  <si>
    <t>Impresión Refacturación (RE*), sector ELE, tarifa 3.0TD - CA</t>
  </si>
  <si>
    <t>CP_023</t>
  </si>
  <si>
    <t>Impresión Refacturación (RE*), sector ELE, tarifa 3.0TD - EU</t>
  </si>
  <si>
    <t>CP_024</t>
  </si>
  <si>
    <t>Impresión Refacturación (RE*), sector ELE, tarifa 3.0TD - GA</t>
  </si>
  <si>
    <t>CP_025</t>
  </si>
  <si>
    <t>Impresión  factura de anulación (SU*), sector ELE, tarifa 3.0TD - ES</t>
  </si>
  <si>
    <t>CP_026</t>
  </si>
  <si>
    <t>Impresión  factura de anulación (SU*), sector ELE, tarifa 3.0TD - CA</t>
  </si>
  <si>
    <t>CP_027</t>
  </si>
  <si>
    <t>Impresión  factura de anulación (SU*), sector ELE, tarifa 3.0TD - EU</t>
  </si>
  <si>
    <t>CP_028</t>
  </si>
  <si>
    <t>Impresión  factura de anulación (SU*), sector ELE, tarifa 3.0TD - GA</t>
  </si>
  <si>
    <t>CP_029</t>
  </si>
  <si>
    <t>Impresión factura de ciclo (FE*), sector ELE, tarifa 6.0TD - ES</t>
  </si>
  <si>
    <t>CP_030</t>
  </si>
  <si>
    <t>Impresión factura de ciclo (FE*), sector ELE, tarifa 6.0TD - CA</t>
  </si>
  <si>
    <t>CP_031</t>
  </si>
  <si>
    <t>Impresión factura de ciclo (FE*), sector ELE, tarifa 6.0TD - EU</t>
  </si>
  <si>
    <t>CP_032</t>
  </si>
  <si>
    <t>Impresión factura de ciclo (FE*), sector ELE, tarifa 6.0TD - GA</t>
  </si>
  <si>
    <t>CP_033</t>
  </si>
  <si>
    <t>Impresión Refacturación (RE*), sector ELE, tarifa 6.xTD - ES</t>
  </si>
  <si>
    <t>CP_034</t>
  </si>
  <si>
    <t>Impresión Refacturación (RE*), sector ELE, tarifa 6.xTD - CA</t>
  </si>
  <si>
    <t>CP_035</t>
  </si>
  <si>
    <t>Impresión Refacturación (RE*), sector ELE, tarifa 6.xTD - EU</t>
  </si>
  <si>
    <t>CP_036</t>
  </si>
  <si>
    <t>Impresión Refacturación (RE*), sector ELE, tarifa 6.xTD - GA</t>
  </si>
  <si>
    <t>CP_037</t>
  </si>
  <si>
    <t>Impresión  factura de anulación (SU*), sector ELE, tarifa 6.xTD - ES</t>
  </si>
  <si>
    <t>CP_038</t>
  </si>
  <si>
    <t>Impresión  factura de anulación (SU*), sector ELE, tarifa 6.xTD - CA</t>
  </si>
  <si>
    <t>CP_039</t>
  </si>
  <si>
    <t>Impresión  factura de anulación (SU*), sector ELE, tarifa 6.xTD - EU</t>
  </si>
  <si>
    <t>CP_040</t>
  </si>
  <si>
    <t>Impresión  factura de anulación (SU*), sector ELE, tarifa 6.xTD - GA</t>
  </si>
  <si>
    <t>CP_041</t>
  </si>
  <si>
    <t>Impresión factura de ciclo (FE*), sector GAS - ES</t>
  </si>
  <si>
    <t>CP_042</t>
  </si>
  <si>
    <t>Impresión factura de ciclo (FE*), sector GAS - CA</t>
  </si>
  <si>
    <t>CP_043</t>
  </si>
  <si>
    <t>Impresión factura de ciclo (FE*), sector GAS - EU</t>
  </si>
  <si>
    <t>CP_044</t>
  </si>
  <si>
    <t>Impresión factura de ciclo (FE*), sector GAS - GA</t>
  </si>
  <si>
    <t>CP_045</t>
  </si>
  <si>
    <t>Impresión Refacturación (RE*), sector GAS - ES</t>
  </si>
  <si>
    <t>Muy Alta</t>
  </si>
  <si>
    <t>CP_046</t>
  </si>
  <si>
    <t>Impresión Refacturación (RE*), sector GAS - CA</t>
  </si>
  <si>
    <t>CP_047</t>
  </si>
  <si>
    <t>Impresión Refacturación (RE*), sector GAS - EU</t>
  </si>
  <si>
    <t>CP_048</t>
  </si>
  <si>
    <t>Impresión Refacturación (RE*), sector GAS - GA</t>
  </si>
  <si>
    <t>CP_049</t>
  </si>
  <si>
    <t>Impresión  factura de anulación (SU*),sector GAS - ES</t>
  </si>
  <si>
    <t>CP_050</t>
  </si>
  <si>
    <t>Impresión  factura de anulación (SU*),sector GAS - CA</t>
  </si>
  <si>
    <t>CP_051</t>
  </si>
  <si>
    <t>Impresión  factura de anulación (SU*),sector GAS - EU</t>
  </si>
  <si>
    <t>CP_052</t>
  </si>
  <si>
    <t>Impresión  factura de anulación (SU*),sector GAS - GA</t>
  </si>
  <si>
    <t>CP_053</t>
  </si>
  <si>
    <t>Impresión factura de Ajuste (AE*), sector GAS - ES</t>
  </si>
  <si>
    <t>CP_054</t>
  </si>
  <si>
    <t>Impresión factura de Ajuste (AE*), sector GAS - CA</t>
  </si>
  <si>
    <t>CP_055</t>
  </si>
  <si>
    <t>Impresión factura de Ajuste (AE*), sector GAS - EU</t>
  </si>
  <si>
    <t>CP_056</t>
  </si>
  <si>
    <t>Impresión factura de Ajuste (AE*), sector GAS - GA</t>
  </si>
  <si>
    <t>CP_057</t>
  </si>
  <si>
    <t>Impresión factura de empleado - ES</t>
  </si>
  <si>
    <t>CP_058</t>
  </si>
  <si>
    <t>Impresión factura de empleado - CA</t>
  </si>
  <si>
    <t>CP_059</t>
  </si>
  <si>
    <t>Impresión factura de empleado - EU</t>
  </si>
  <si>
    <t>CP_060</t>
  </si>
  <si>
    <t>Impresión factura de empleado - GA</t>
  </si>
  <si>
    <t>CP_061</t>
  </si>
  <si>
    <t>Impresión factura TP ELE - ES</t>
  </si>
  <si>
    <t>CP_062</t>
  </si>
  <si>
    <t>Impresión factura TP ELE - CA</t>
  </si>
  <si>
    <t>CP_063</t>
  </si>
  <si>
    <t>Impresión factura TP ELE - EU</t>
  </si>
  <si>
    <t>CP_064</t>
  </si>
  <si>
    <t>Impresión factura TP ELE - GA</t>
  </si>
  <si>
    <t>CP_065</t>
  </si>
  <si>
    <t>Impresión factura TP GAS  - ES</t>
  </si>
  <si>
    <t>CP_066</t>
  </si>
  <si>
    <t>Impresión factura TP GAS  - CA</t>
  </si>
  <si>
    <t>CP_067</t>
  </si>
  <si>
    <t>Impresión factura TP GAS  - EU</t>
  </si>
  <si>
    <t>CP_068</t>
  </si>
  <si>
    <t>Impresión factura TP GAS  - GA</t>
  </si>
  <si>
    <t>CP_069</t>
  </si>
  <si>
    <t xml:space="preserve">Impresión factura IGIC </t>
  </si>
  <si>
    <t>CP_070</t>
  </si>
  <si>
    <t>Impresión factura IPSI</t>
  </si>
  <si>
    <t>CP_071</t>
  </si>
  <si>
    <t>Impresión factura con troquelado - ES</t>
  </si>
  <si>
    <t>CP_072</t>
  </si>
  <si>
    <t>Impresión factura con troquelado - CA</t>
  </si>
  <si>
    <t>CP_073</t>
  </si>
  <si>
    <t>Impresión factura con troquelado - EU</t>
  </si>
  <si>
    <t>CP_074</t>
  </si>
  <si>
    <t>Impresión factura con troquelado - GA</t>
  </si>
  <si>
    <t>Porcentaje de Avance</t>
  </si>
  <si>
    <t>Pendiente</t>
  </si>
  <si>
    <t>Total</t>
  </si>
  <si>
    <t>Proyecto</t>
  </si>
  <si>
    <t>Tipo</t>
  </si>
  <si>
    <t>Estado</t>
  </si>
  <si>
    <t>Prioridad</t>
  </si>
  <si>
    <t>Codigo de Prueba</t>
  </si>
  <si>
    <t>Asunto</t>
  </si>
  <si>
    <t>Módulos Delta</t>
  </si>
  <si>
    <t>Datos de prueba</t>
  </si>
  <si>
    <t>Técnica de pruebas</t>
  </si>
  <si>
    <t>xml papyrus</t>
  </si>
  <si>
    <t>pdf papyrus</t>
  </si>
  <si>
    <t>Proyecto Compositor Documental - GNCOM</t>
  </si>
  <si>
    <t>Caso prueba</t>
  </si>
  <si>
    <t>Nueva</t>
  </si>
  <si>
    <t>Normal</t>
  </si>
  <si>
    <t>FAC_001</t>
  </si>
  <si>
    <t>Factura Gas España F001-F031 Subformulario Gas España Lectura mensual</t>
  </si>
  <si>
    <t>FACTURACIÓN</t>
  </si>
  <si>
    <t>Factura Gas España con Lectura mensual
Formulario: F001
Subformulario: F031
Idioma: CA, ES, EU, GA</t>
  </si>
  <si>
    <t>Impresión facturas en los distintos idiomas</t>
  </si>
  <si>
    <t>Generación de xml y PDF</t>
  </si>
  <si>
    <t>Javi Granadino / Esther Rigo (M. Simón)</t>
  </si>
  <si>
    <t>FAC_001_GA_PI25142000355153.xml
FAC_001_ES_PI25142000355153.xml
FAC_001_CA_PI25142000355153.xml
FAC_001_EU_PI25142000355153.xml</t>
  </si>
  <si>
    <t>FAC_001_GA_PI25142000355153.pdf
FAC_001_ES_PI25142000355153.pdf
FAC_001_CA_PI25142000355153.des.afp.pdf
FAC_001_EU_PI25142000355153.des.afp.pdf</t>
  </si>
  <si>
    <t>FAC_002</t>
  </si>
  <si>
    <t>Factura Gas España F001-F011 Subformulario Gas España Lectura diaria con curva</t>
  </si>
  <si>
    <t>Factura Gas España con Lectura diaria con curva
Formulario: F001
Subformulario: F011
Idioma: CA, ES, EU, GA</t>
  </si>
  <si>
    <t>FAC_002_ES_PI25142000387240.xml
FAC_002_GA_PI25142000387240.xml
FAC_002_EU_PI25142000387240.xml
FAC_002_CA_PI25142000387240.xml</t>
  </si>
  <si>
    <t>FAC_002_ES_PI25142000387240.pdf
FAC_002_GA_PI25142000387240.pdf
FAC_002_EU_PI25142000387240.pdf
FAC_002_CA_PI25142000387240.pdf</t>
  </si>
  <si>
    <t>FAC_003</t>
  </si>
  <si>
    <t>Factura Gas España F001-F061 Subformulario Gas España mixta</t>
  </si>
  <si>
    <t>Factura Gas España con lectura mixta
Formulario: F001
Subformulario: F061
Idioma: CA, ES, EU, GA</t>
  </si>
  <si>
    <t>FAC_003_ES_PI25142000363098.xml
FAC_003_EU_PI25142000363098.xml
FAC_003_CA_PI25142000363098.xml
FAC_003_GA_PI25142000363098.xml</t>
  </si>
  <si>
    <t>FAC_003_ES_PI25142000363098.pdf
FAC_003_EU_PI25142000363098.pdf
FAC_003_CA_PI25142000363098.pdf
FAC_003_GA_PI25142000363098.pdf</t>
  </si>
  <si>
    <t>FAC_004</t>
  </si>
  <si>
    <t>Factura Gas España GFU (F001)</t>
  </si>
  <si>
    <t>Factura Gas España GFU (Multipunto) 
Formulario: F001
Subformulario: F031/F011/F061
Idioma: CA, ES, EU, GA</t>
  </si>
  <si>
    <t>FAC_004_GA_PI25142000389656.xml
FAC_004_CA_PI25142000389656.xml
FAC_004_ES_PI25142000389656.xml
FAC_004_EU_PI25142000389656.xml</t>
  </si>
  <si>
    <t>FAC_004_GA_PI25142000389656.pdf
FAC_004_CA_PI25142000389656.afp.pdf
FAC_004_ES_PI25142000389656.afp.pdf
FAC_004_EU_PI25142000389656.afp.pdf</t>
  </si>
  <si>
    <t>FAC_005</t>
  </si>
  <si>
    <t>Factura Gas España Agrupación diaria (F001)</t>
  </si>
  <si>
    <t>Factura Gas España Agrupación diaria
Formulario: F001
Subformulario: F011
Idioma: CA, ES, EU, GA</t>
  </si>
  <si>
    <t> FAC_005_ES_PI25142000386327.xml
 FAC_005_CA_PI25142000386327.xml
 FAC_005_EU_PI25142000386327.xml
 FAC_005_GA_PI25142000386327.xml</t>
  </si>
  <si>
    <t>FAC_005_ES_PI25142000386327.pdf
FAC_005_CA_PI25142000386327.pdf
FAC_005_EU_PI25142000386327.pdf
FAC_005_GA_PI25142000386327.pdf</t>
  </si>
  <si>
    <t>FAC_006</t>
  </si>
  <si>
    <t>Factura Gas España CV (F001)</t>
  </si>
  <si>
    <t>Factura Gas España CV (Cargo Vario)
Formulario: F001
Subformulario: N/A
Idioma: CA, ES, EU, GA</t>
  </si>
  <si>
    <t> FAC_006_ES_PO24142000002567.xml
FAC_006_CA_PO24142000002567.xml
FAC_006_GA_PO24142000002567.xml
FAC_006_EU_PO24142000002567.xml</t>
  </si>
  <si>
    <t>FAC_006_ES_PO24142000002567.afp.pdf
FAC_006_CA_PO24142000002567.afp.pdf
FAC_006_GA_PO24142000002567.afp.pdf
FAC_006_EU_PO24142000002567.afp.pdf</t>
  </si>
  <si>
    <t>FAC_007</t>
  </si>
  <si>
    <t>Factura de ajuste Gas España (F001)</t>
  </si>
  <si>
    <t>Factura de ajuste Gas España
Formulario: F001
Subformulario: F011/F031/F061
Idioma: CA, ES, EU, GA</t>
  </si>
  <si>
    <t> | PA25142000045897 | DazelMessage_378632.xml | DazelMessage_378632_F001.afp.pdf | F001 | F031 | CatalÃ¡n |
| PA25142000045897 | DazelMessage_378628.xml | DazelMessage_378628.afp.pdf | F001 | F031 | EspaÃ±ol |
| PA25142000045897 | DazelMessage_378678.xml | DazelMessage_378678_F001.afp.pdf | F001 | F031 | Euskera |
| PA25142000045897 | DazelMessage_378647.xml | DazelMessage_378647_F001.afp.pdf | F001 | F031 | Gallego |</t>
  </si>
  <si>
    <t>FAC_008</t>
  </si>
  <si>
    <t>Factura de recálculo Gas España (F001)</t>
  </si>
  <si>
    <t>Factura de recálculo Gas España
Formulario: F001
Subformulario: F011/F031/F061
Idioma: CA, ES, EU, GA</t>
  </si>
  <si>
    <t> | PR25142000004972 | DazelMessage_378633.xml | DazelMessage_378633_F001.afp.pdf | F001 | F011 | CatalÃ¡n |
| PR25142000004972 | DazelMessage_378627.xml | DazelMessage_378627.afp.pdf | F001 | F011 | EspaÃ±ol |
| PR25142000004972 | DazelMessage_378677.xml | DazelMessage_378677_F001.afp.pdf | F001 | F011 | Euskera |
| PR25142000004972 | DazelMessage_378640.xml | DazelMessage_378640_F001.afp.pdf | F001 | F011 | Gallego |</t>
  </si>
  <si>
    <t>FAC_009</t>
  </si>
  <si>
    <t>Factura de anulación Gas España (F001)</t>
  </si>
  <si>
    <t>Factura de anulación Gas España
Formulario: F001
Subformulario: F011/F031/F061
Idioma: CA, ES, EU, GA</t>
  </si>
  <si>
    <t> | PS25142000009265 | DazelMessage_378632.xml | DazelMessage_378632_F001.afp.pdf | F001 |  | CatalÃ¡n |
| PS25142000009265 | DazelMessage_378628.xml | DazelMessage_378628.afp.pdf | F001 |  | EspaÃ±ol |
| PS25142000009265 | DazelMessage_378678.xml | DazelMessage_378678_F001.afp.pdf | F001 |  | Euskera |
| PS25142000009265 | DazelMessage_378647.xml | DazelMessage_378647_F001.afp.pdf | F001 |  | Gallego |</t>
  </si>
  <si>
    <t>FAC_010</t>
  </si>
  <si>
    <t>Factura de ajuste Gas España GFU (F001)</t>
  </si>
  <si>
    <t>Factura de ajuste Gas España GFU (Multipunto)
Formulario: F001
Subformulario: F011/F031/F061
Idioma: CA, ES, EU, GA</t>
  </si>
  <si>
    <t> </t>
  </si>
  <si>
    <t> | PA25142000044574 | DazelMessage_378633.xml | DazelMessage_378633_F001.afp.pdf | F001 | F031 | CatalÃ¡n |
| PA25142000044574 | DazelMessage_378627.xml | DazelMessage_378627.afp.pdf | F001 | F031 | EspaÃ±ol |
| PA25142000044574 | DazelMessage_378677.xml | DazelMessage_378677_F001.afp.pdf | F001 | F031 | Euskera |
| PA25142000044574 | DazelMessage_378640.xml | DazelMessage_378640_F001.afp.pdf | F001 | F031 | Gallego |</t>
  </si>
  <si>
    <t>FAC_011</t>
  </si>
  <si>
    <t>Factura de recálculo Gas España GFU (F001)</t>
  </si>
  <si>
    <t>Factura de recálculo Gas España GFU (Multipunto)
Formulario: F001
Subformulario: F011/F031/F061
Idioma: CA, ES, EU, GA</t>
  </si>
  <si>
    <t> | PR25142000004874 | DazelMessage_378633.xml | DazelMessage_378633_F001.afp.pdf | F001 | F031 | CatalÃ¡n |
| PR25142000004874 | DazelMessage_378627.xml | DazelMessage_378627.afp.pdf | F001 | F031 | EspaÃ±ol |
| PR25142000004874 | DazelMessage_378677.xml | DazelMessage_378677_F001.afp.pdf | F001 | F031 | Euskera |
| PR25142000004874 | DazelMessage_378640.xml | DazelMessage_378640_F001.afp.pdf | F001 | F031 | Gallego |</t>
  </si>
  <si>
    <t>FAC_012</t>
  </si>
  <si>
    <t>Factura de anulación Gas España GFU (F001)</t>
  </si>
  <si>
    <t>Factura de anulación Gas España GFU (Multipunto)
Formulario: F001
Subformulario: F011/F031/F061
Idioma: CA, ES, EU, GA</t>
  </si>
  <si>
    <t> | PS25142000008202 | DazelMessage_378633.xml | DazelMessage_378633_F001.afp.pdf | F001 |  | CatalÃ¡n |
| PS25142000008202 | DazelMessage_378627.xml | DazelMessage_378627.afp.pdf | F001 |  | EspaÃ±ol |
| PS25142000008202 | DazelMessage_378677.xml | DazelMessage_378677_F001.afp.pdf | F001 |  | Euskera |
| PS25142000008202 | DazelMessage_378640.xml | DazelMessage_378640_F001.afp.pdf | F001 |  | Gallego |</t>
  </si>
  <si>
    <t>FAC_013</t>
  </si>
  <si>
    <t>Factura Electricidad España F002-F012 Subformulario Electricidad España 1 y 3 periodos</t>
  </si>
  <si>
    <t>Factura Electricidad España con 1 o 3 periodos
Formulario: F002
Subformulario: F012
Idioma: CA, ES, EU, GA</t>
  </si>
  <si>
    <t>FAC_013_ES_PI25142000386163.xml
FAC_013_CA_PI25142000386163.xml
FAC_013_EU_PI25142000386163.xml
FAC_013_GA_PI25142000386163.xml</t>
  </si>
  <si>
    <t>FAC_013_ES_PI25142000386163.afp.pdf
FAC_013_CA_PI25142000386163.pdf
FAC_013_EU_PI25142000386163.pdf
FAC_013_GA_PI25142000386163.pdf</t>
  </si>
  <si>
    <t>FAC_014</t>
  </si>
  <si>
    <t>Factura Electricidad España F002-F022 Subformulario Electricidad España 6 periodos</t>
  </si>
  <si>
    <t>Factura Electricidad España con 6 periodos
Formulario: F002
Subformulario: F022
Idioma: CA, ES, EU, GA</t>
  </si>
  <si>
    <t>FAC_014_ES_PI25142000387226.xml
FAC_014_CA_PI25142000387226.xml
FAC_014_EU_PI25142000387226.xml
FAC_014_GA_PI25142000387226.xml</t>
  </si>
  <si>
    <t>FAC_014_ES_PI25142000387226.afp.pdf
FAC_014_CA_PI25142000387226.afp.pdf
FAC_014_EU_PI25142000387226.afp.pdf
FAC_014_GA_PI25142000387226.afp.pdf</t>
  </si>
  <si>
    <t>FAC_015</t>
  </si>
  <si>
    <t>Factura Electricidad España GFU (F002)</t>
  </si>
  <si>
    <t>Factura Electricidad España GFU (Multipunto)
Formulario: F002
Subformulario: F012/F022
Idioma: CA, ES, EU, GA</t>
  </si>
  <si>
    <t>FAC_015_GA_PI25142000343027.xml
FAC_015_ES_PI25142000343027.xml
FAC_015_CA_PI25142000343027.xml
FAC_015_EU_PI25142000343027.xml</t>
  </si>
  <si>
    <t>FAC_015_GA_PI25142000343027.afp.pdf
FAC_015_CA_PI25142000343027.afp.pdf
FAC_015_ES_PI25142000343027.afp.pdf
FAC_015_EU_PI25142000343027.afp.pdf</t>
  </si>
  <si>
    <t>FAC_016</t>
  </si>
  <si>
    <t>Factura Electricidad España CV (F002)</t>
  </si>
  <si>
    <t>Factura Electricidad España CV (Cargo Vario)
Formulario: F002
Subformulario: N/A
Idioma: CA, ES, EU, GA</t>
  </si>
  <si>
    <t xml:space="preserve"> FAC_016_ES_PO24142000002805.xml
 FAC_016_CA_PO24142000002805.xml
 FAC_016_GA_PO24142000002805.xml
 FAC_016_EU_PO24142000002805.xml
</t>
  </si>
  <si>
    <t> FAC_016_ES_PO24142000002805.afp.pdf
 FAC_016_CA_PO24142000002805.afp.pdf
 FAC_016_GA_PO24142000002805.afp.pdf
 FAC_016_EU_PO24142000002805.afp.pdf</t>
  </si>
  <si>
    <t>FAC_017</t>
  </si>
  <si>
    <t>Factura de ajuste Electricidad España (F002)</t>
  </si>
  <si>
    <t>Factura de ajuste Electricidad España
Formulario: F002
Subformulario: F012/F022
Idioma: CA, ES, EU, GA</t>
  </si>
  <si>
    <t>FAC_017_ES_PA25142000032972.xml
FAC_017_CA_PA25142000032972.xml
FAC_017_EU_PA25142000032972.xml
FAC_017_GA_PA25142000032972.xml</t>
  </si>
  <si>
    <t>FAC_017_ES_PA25142000032972.pdf
FAC_017_CA_PA25142000032972.afp.pdf
FAC_017_EU_PA25142000032972.afp.pdf
FAC_017_GA_PA25142000032972.afp.pdf</t>
  </si>
  <si>
    <t>FAC_018</t>
  </si>
  <si>
    <t>Factura de recálculo Electricidad España (F002)</t>
  </si>
  <si>
    <t>Factura de recálculo Electricidad España
Formulario: F002
Subformulario: F012/F022
Idioma: CA, ES, EU, GA</t>
  </si>
  <si>
    <t> | PR25142000004750 | DazelMessage_378650_Cat.xml | DazelMessage_378650_Cat_F002.afp.pdf | F002 | F022 | CatalÃ¡n |
| PR25142000004750 | DazelMessage_378649_Cas.xml | DazelMessage_378649_Cas_F002.afp.pdf | F002 | F022 | EspaÃ±ol |
| PR25142000004750 | DazelMessage_378680.xml | DazelMessage_378680_F002.afp.pdf | F002 | F022 | Euskera |
| PR25142000004750 | DazelMessage_378639.xml | DazelMessage_378639_F002.afp.pdf | F002 | F022 | Gallego |</t>
  </si>
  <si>
    <t>FAC_019</t>
  </si>
  <si>
    <t>Factura de anulación Electricidad España (F002)</t>
  </si>
  <si>
    <t>Factura de anulación Electricidad España
Formulario: F002
Subformulario: F012/F022
Idioma: CA, ES, EU, GA</t>
  </si>
  <si>
    <t>| PS25142000008407 | DazelMessage_378631.xml | DazelMessage_378631_F002.afp.pdf | F002 |  | CatalÃ¡n |
| PS25142000008407 | DazelMessage_378626.xml | DazelMessage_378626_F002.afp.pdf | F002 |  | EspaÃ±ol |
| PS25142000008407 | DazelMessage_378679.xml | DazelMessage_378679_F002.afp.pdf | F002 |  | Euskera |
| PS25142000008407 | DazelMessage_378638.xml | DazelMessage_378638_F002.afp.pdf | F002 |  | Gallego | </t>
  </si>
  <si>
    <t> | PS25142000008407 | DazelMessage_378631.xml | DazelMessage_378631_F002.afp.pdf | F002 |  | CatalÃ¡n |
| PS25142000008407 | DazelMessage_378626.xml | DazelMessage_378626_F002.afp.pdf | F002 |  | EspaÃ±ol |
| PS25142000008407 | DazelMessage_378679.xml | DazelMessage_378679_F002.afp.pdf | F002 |  | Euskera |
| PS25142000008407 | DazelMessage_378638.xml | DazelMessage_378638_F002.afp.pdf | F002 |  | Gallego |</t>
  </si>
  <si>
    <t>FAC_020</t>
  </si>
  <si>
    <t>Factura de ajuste Electricidad España GFU (F002)</t>
  </si>
  <si>
    <t>Factura de ajuste Electricidad España GFU (Multipunto)
Formulario: F002
Subformulario: F012/F022
Idioma: CA, ES, EU, GA</t>
  </si>
  <si>
    <t> | PA25142000033614 | DazelMessage_378634.xml | DazelMessage_378634_F002.afp.pdf | F002 | F012 | CatalÃ¡n |
| PA25142000033614 | DazelMessage_378629.xml | DazelMessage_378629_F002.afp.pdf | F002 | F012 | EspaÃ±ol |
| PA25142000033614 | DazelMessage_378681.xml | DazelMessage_378681_F002.afp.pdf | F002 | F012 | Euskera |
| PA25142000033614 | DazelMessage_378641.xml | DazelMessage_378641_F002.afp.pdf | F002 | F012 | Gallego |</t>
  </si>
  <si>
    <t>FAC_021</t>
  </si>
  <si>
    <t>Factura de recálculo Electricidad España GFU (F002)</t>
  </si>
  <si>
    <t>Factura de recálculo Electricidad España GFU (Multipunto)
Formulario: F002
Subformulario: F012/F022
Idioma: CA, ES, EU, GA</t>
  </si>
  <si>
    <t> | PR25142000004744 | DazelMessage_378634.xml | DazelMessage_378634_F002.afp.pdf | F002 | F012 | CatalÃ¡n |
| PR25142000004744 | DazelMessage_378629.xml | DazelMessage_378629_F002.afp.pdf | F002 | F012 | EspaÃ±ol |
| PR25142000004744 | DazelMessage_378681.xml | DazelMessage_378681_F002.afp.pdf | F002 | F012 | Euskera |
| PR25142000004744 | DazelMessage_378641.xml | DazelMessage_378641_F002.afp.pdf | F002 | F012 | Gallego |</t>
  </si>
  <si>
    <t>FAC_022</t>
  </si>
  <si>
    <t>Factura de anulación Electricidad España GFU (F002)</t>
  </si>
  <si>
    <t>Factura de anulación Electricidad España GFU (Multipunto)
Formulario: F002
Subformulario: F012/F022
Idioma: CA, ES, EU, GA</t>
  </si>
  <si>
    <t> | PS25142000008193 | DazelMessage_378634.xml | DazelMessage_378634_F002.afp.pdf | F002 |  | CatalÃ¡n |
| PS25142000008193 | DazelMessage_378629.xml | DazelMessage_378629_F002.afp.pdf | F002 |  | EspaÃ±ol |
| PS25142000008193 | DazelMessage_378681.xml | DazelMessage_378681_F002.afp.pdf | F002 |  | Euskera |
| PS25142000008193 | DazelMessage_378641.xml | DazelMessage_378641_F002.afp.pdf | F002 |  | Gallego |</t>
  </si>
  <si>
    <t>FAC_023</t>
  </si>
  <si>
    <t>Factura clientes no finales España F004</t>
  </si>
  <si>
    <t>Factura clientes no finales España
Formulario: F004
Subformulario: N/A
Idioma: CA, ES, EU, GA</t>
  </si>
  <si>
    <t>Charo Carrote</t>
  </si>
  <si>
    <t>FAC_023_ES_NI25142000000020</t>
  </si>
  <si>
    <t>FAC_024</t>
  </si>
  <si>
    <t>Factura de ajuste clientes no finales España (F004)</t>
  </si>
  <si>
    <t>Factura de ajuste clientes no finales España
Formulario: F004
Subformulario: N/A
Idioma: CA, ES, EU, GA</t>
  </si>
  <si>
    <t> DazelMessage_378625.xml</t>
  </si>
  <si>
    <t>DazelMessage_378625_F004.afp.pdf</t>
  </si>
  <si>
    <t>FAC_025</t>
  </si>
  <si>
    <t>Factura de recálculo clientes no finales España (F004)</t>
  </si>
  <si>
    <t>Factura de recálculo clientes no finales España
Formulario: F004
Subformulario: N/A
Idioma: CA, ES, EU, GA</t>
  </si>
  <si>
    <t xml:space="preserve"> DazelMessage_378625_F004.afp.pdf </t>
  </si>
  <si>
    <t>FAC_026</t>
  </si>
  <si>
    <t>Factura de anulación clientes no finales España (F004)</t>
  </si>
  <si>
    <t>Factura de anulación clientes no finales España
Formulario: F004
Subformulario: N/A
Idioma: CA, ES, EU, GA</t>
  </si>
  <si>
    <t> DazelMessage_378625_F004.afp.pdf</t>
  </si>
  <si>
    <t>FAC_027</t>
  </si>
  <si>
    <t>Factura GNL España F003</t>
  </si>
  <si>
    <t>Factura GNL España
Formulario: F003
Subformulario: N/A
Idioma: CA, ES, EU, GA</t>
  </si>
  <si>
    <t>FAC_027_CA_PI25142000327200</t>
  </si>
  <si>
    <t>FAC_028</t>
  </si>
  <si>
    <t>Factura de ajuste GNL España (F003)</t>
  </si>
  <si>
    <t>Factura de ajuste GNL España
Formulario: F003
Subformulario: N/A
Idioma: CA, ES, EU, GA</t>
  </si>
  <si>
    <t>DazelMessage_378643.xml| CatalÃ¡n |
DazelMessage_378624.xml| EspaÃ±ol |
DazelMessage_378675.xml | Euskera |
DazelMessage_378637.xml | Gallego |
Detalle por factura
| PA25142000032644 | DazelMessage_378643.xml | DazelMessage_378643_F003.afp.pdf | F003 |  | CatalÃ¡n |
| PA25142000032644 | DazelMessage_378624.xml | DazelMessage_378624_F003.afp.pdf | F003 |  | EspaÃ±ol |
| PA25142000032644 | DazelMessage_378675.xml | DazelMessage_378675_F003.afp.pdf | F003 |  | Euskera |
| PA25142000032644 | DazelMessage_378637.xml | DazelMessage_378637_F003.afp.pdf | F003 |  | Gallego |</t>
  </si>
  <si>
    <t>DazelMessage_378643_F003.afp.pdf 
DazelMessage_378624_F003.afp.pdf
DazelMessage_378675_F003.afp.pdf
 DazelMessage_378637_F003.afp.pdf 
Detalle por factura
| PA25142000032644 | DazelMessage_378643.xml | DazelMessage_378643_F003.afp.pdf | F003 |  | CatalÃ¡n |
| PA25142000032644 | DazelMessage_378624.xml | DazelMessage_378624_F003.afp.pdf | F003 |  | EspaÃ±ol |
| PA25142000032644 | DazelMessage_378675.xml | DazelMessage_378675_F003.afp.pdf | F003 |  | Euskera |
| PA25142000032644 | DazelMessage_378637.xml | DazelMessage_378637_F003.afp.pdf | F003 |  | Gallego |</t>
  </si>
  <si>
    <t>FAC_029</t>
  </si>
  <si>
    <t>Factura de recálculo GNL España (F003)</t>
  </si>
  <si>
    <t>Factura de recálculo GNL España
Formulario: F003
Subformulario: N/A
Idioma: CA, ES, EU, GA</t>
  </si>
  <si>
    <t> | PR25142000004789 | DazelMessage_378643.xml | DazelMessage_378643_F003.afp.pdf | F003 |  | CatalÃ¡n |
| PR25142000004789 | DazelMessage_378624.xml | DazelMessage_378624_F003.afp.pdf | F003 |  | EspaÃ±ol |
| PR25142000004789 | DazelMessage_378675.xml | DazelMessage_378675_F003.afp.pdf | F003 |  | Euskera |
| PR25142000004789 | DazelMessage_378637.xml | DazelMessage_378637_F003.afp.pdf | F003 |  | Gallego |</t>
  </si>
  <si>
    <t>FAC_030</t>
  </si>
  <si>
    <t>Factura de anulación GNL España (F003)</t>
  </si>
  <si>
    <t>Factura de anulación GNL España
Formulario: F003
Subformulario: N/A
Idioma: CA, ES, EU, GA</t>
  </si>
  <si>
    <t> | PS25142000008389 | DazelMessage_378643.xml | DazelMessage_378643_F003.afp.pdf | F003 |  | CatalÃ¡n |
| PS25142000008389 | DazelMessage_378624.xml | DazelMessage_378624_F003.afp.pdf | F003 |  | EspaÃ±ol |
| PS25142000008389 | DazelMessage_378675.xml | DazelMessage_378675_F003.afp.pdf | F003 |  | Euskera |
| PS25142000008389 | DazelMessage_378637.xml | DazelMessage_378637_F003.afp.pdf | F003 |  | Gallego |</t>
  </si>
  <si>
    <t>| PS25142000008389 | DazelMessage_378643.xml | DazelMessage_378643_F003.afp.pdf | F003 |  | CatalÃ¡n |
| PS25142000008389 | DazelMessage_378624.xml | DazelMessage_378624_F003.afp.pdf | F003 |  | EspaÃ±ol |
| PS25142000008389 | DazelMessage_378675.xml | DazelMessage_378675_F003.afp.pdf | F003 |  | Euskera |
| PS25142000008389 | DazelMessage_378637.xml | DazelMessage_378637_F003.afp.pdf | F003 |  | Gallego |</t>
  </si>
  <si>
    <t>FAC_031</t>
  </si>
  <si>
    <t>Impresión agrupadores OOEE Gas España Listado facturas</t>
  </si>
  <si>
    <t>Carta de agrupador de Gas España con lista de facturas
Carta: OOEE
Idioma: CA, ES, EU, GA</t>
  </si>
  <si>
    <t>DazelMessage_378667_OOEE_G_LLISTA_ES.xml
DazelMessage_378668_OOEE_G_LLISTA_CA.xml
DazelMessage_378669_OOEE_G_LLISTA_EU.xml
DazelMessage_378670_OOEE_G_LLISTA_GA.xml</t>
  </si>
  <si>
    <t>DazelMessage_378667_OOEE_G_LLISTA_ES.afp.pdf
DazelMessage_378668_OOEE_G_LLISTA_CA.afp.pdf
DazelMessage_378669_OOEE_G_LLISTA_EU.afp.pdf
DazelMessage_378670_OOEE_G_LLISTA_GA.afp.pdf</t>
  </si>
  <si>
    <t>FAC_032</t>
  </si>
  <si>
    <t>Impresión agrupadores OOEE Gas España Listado facturas y facturas</t>
  </si>
  <si>
    <t>Carta de agrupador de Gas España con lista de facturas y facturas
Carta: OOEE
Con facturas:
Formulario: F001
Subformulario: F011/F031/F061
Idioma: CA, ES, EU, GA</t>
  </si>
  <si>
    <t> DazelMessage_378671_OOEE_G_LLISTA+FACT.xml</t>
  </si>
  <si>
    <t> DazelMessage_378671_OOEE_G_LLISTA_FACT_F001.afp.pdf</t>
  </si>
  <si>
    <t>FAC_033</t>
  </si>
  <si>
    <t>Impresión agrupadores OOEE Eletricidad España Listado facturas</t>
  </si>
  <si>
    <t>Carta de agrupador de Electricidad España con lista de facturas
Carta: OOEE
Idioma: CA, ES, EU, GA</t>
  </si>
  <si>
    <t>DazelMessage_378672_OOEE_E_LLISTA_ES.xml
DazelMessage_378673_OOEE_E_LLISTA_CA.xml
DazelMessage_378674_OOEE_E_LLISTA_EU.xml
DazelMessage_378683_OOEE_E_LLISTA_GA.xml</t>
  </si>
  <si>
    <t> DazelMessage_378672_OOEE_E_LLISTA_ES.afp.pdf
DazelMessage_378673_OOEE_E_LLISTA_CA.afp.pdf
DazelMessage_378674_OOEE_E_LLISTA_EU.afp.pdf
DazelMessage_378683_OOEE_E_LLISTA_GA.afp.pdf</t>
  </si>
  <si>
    <t>FAC_034</t>
  </si>
  <si>
    <t>Impresión agrupadores OOEE Eletricidad España Listado facturas y facturas</t>
  </si>
  <si>
    <t>Carta de agrupador de Electricidad España con lista de facturas y facturas
Carta: OOEE
Con facturas:
Formulario: F002
Subformulario: F012/F022
Idioma: CA, ES, EU, GA</t>
  </si>
  <si>
    <t>DazelMessage_378684_OOEE_E_LLISTA+FACT.xml</t>
  </si>
  <si>
    <t>DazelMessage_378684_OOEE_E_LLISTA+FACT.afp.pdf</t>
  </si>
  <si>
    <t>FAC_035</t>
  </si>
  <si>
    <t>Factura Gas España F001-F011 Subformulario Gas España Lectura diaria con curva con más de 5 UMs</t>
  </si>
  <si>
    <t>Factura Gas España con Lectura diaria con curva y más de 5 UMs
Formulario: F001
Subformulario: F011
Idioma: CA, ES, EU, GA</t>
  </si>
  <si>
    <t>FAC_035_CA_PI25142000322521.xml
FAC_035_ES_PI25142000322521.xml
FAC_035_EU_PI25142000322521.xml
FAC_035_GA_PI25142000322521.xml</t>
  </si>
  <si>
    <t>FAC_035_CA_PI25142000322521.pdf
FAC_035_ES_PI25142000322521.pdf
FAC_035_EU_PI25142000322521.pdf
FAC_035_GA_PI25142000322521.pdf</t>
  </si>
  <si>
    <t>FAC_036</t>
  </si>
  <si>
    <t>Factura Gas España GFU (F001) Diario y mensual</t>
  </si>
  <si>
    <t>Factura Gas España GFU (Multipunto) 
Formulario: F001
Subformulario: F031/F011/F061
Idioma: ES</t>
  </si>
  <si>
    <t>FAC_036_ES_PI25142000325752.xml</t>
  </si>
  <si>
    <t>FAC_036_ES_PI25142000325752.afp.pdf</t>
  </si>
  <si>
    <t>FAC_037</t>
  </si>
  <si>
    <t>Factura Electriciad España (F002) Excesos de potencia</t>
  </si>
  <si>
    <t>Factura Electricidad España 
Formulario: F002
Subformulario: F022
Idioma: ES</t>
  </si>
  <si>
    <t>FAC_037_ES_PI25142000348578.pdf</t>
  </si>
  <si>
    <t>FAC_037_ES_PI25142000348578.xml</t>
  </si>
  <si>
    <t>COB_001</t>
  </si>
  <si>
    <t>Generar carta C001__Carta 347 Totales</t>
  </si>
  <si>
    <t>Cobros</t>
  </si>
  <si>
    <t>Carta anterior de la tipología C001
Idioma: CA, ES, EU, GA</t>
  </si>
  <si>
    <t>Se marcan los eventos para reprocesar.
Se ejecutan los procesos de procesamiento de eventos.
Se ejecuta el proceso de generación de xml.</t>
  </si>
  <si>
    <t>Se genera el xml.</t>
  </si>
  <si>
    <t>Conchi Martinez</t>
  </si>
  <si>
    <t>COB_001_Generar carta C001__Carta 347 Totales_Castellano_DazelMessage_376949
COB_001_C001_Carta 347 Totales_Catalan_DazelMessage_377025
COB_001_C001_Carta 347 Totales_Euskera_DazelMessage_377043
COB_001_C001_Carta 347 Totales_Gallego_DazelMessage_377044</t>
  </si>
  <si>
    <t>COB_001_Generar carta C001__Carta 347 Totales_Castellano
COB_001_C001_Carta_347_Totales_Catalan_DazelMessage_377025.afp
COB_001_C001_Carta 347 Totales_Euskera_DazelMessage_377043
COB_001_C001_Carta 347 Totales_Gallego_DazelMessage_377044</t>
  </si>
  <si>
    <t>COB_002</t>
  </si>
  <si>
    <t>Generar carta C002__Carta 347 Detalle</t>
  </si>
  <si>
    <t>Carta anterior de la tipología C002
Idioma: CA, ES, EU, GA</t>
  </si>
  <si>
    <t>COB_002_C002_Castellano_DazelMessage_376246
COB_002_C002_Catalan_DazelMessage_377045
COB_002_C002_Euskera_DazelMessage_377046
COB_002_C002_Gallego_DazelMessage_377047</t>
  </si>
  <si>
    <t>COB_002_C002_Castellano_DazelMessage_376246.afp
COB_002_C002_Catalan_DazelMessage_377045.afp
COB_002_C002_Euskera_DazelMessage_377046.afp
COB_002_C002_Gallego_DazelMessage_377047.afp</t>
  </si>
  <si>
    <t>COB_003</t>
  </si>
  <si>
    <t>Generar carta C003_1__Carta auditor deuda 0</t>
  </si>
  <si>
    <t>Carta anterior de la tipología C003_1
Idioma: CA, ES, EU, GA</t>
  </si>
  <si>
    <t>COB_003_C003_1__Carta auditor deuda 0_Castellano_DazelMessage_377131
COB_003_C003_1__Carta auditor deuda 0_Catalan
COB_003_C003_1__Carta auditor deuda 0_Euskera
COB_003_C003_1__Carta auditor deuda 0_Gallego</t>
  </si>
  <si>
    <t xml:space="preserve">COB_003_C003_1__Carta_auditor_deuda_0_Castellano_DazelMessage_377131.afp
COB_003_C003_1__Carta_auditor_deuda_0_Catalan_DazelMessage_377131.afp
COB_003_C003_1__Carta_auditor_deuda_0_Euskera_DazelMessage_377131.afp
COB_003_C003_1__Carta_auditor_deuda_0_Gallego_DazelMessage_377131.afp
</t>
  </si>
  <si>
    <t>COB_004</t>
  </si>
  <si>
    <t>Generar carta C003__Carta de auditoría</t>
  </si>
  <si>
    <t>Carta anterior de la tipología C003
Idioma: CA, ES, EU, GA</t>
  </si>
  <si>
    <t>COB_004_C003_Carta de auditoría_castellano_DazelMessage_376915
COB_004_C003_Carta de auditoría_Catalan_DazelMessage_377048
COB_004_C003_Carta de auditoría_Euskera_DazelMessage_377049
COB_004_C003_Carta de auditoría_Gallego_DazelMessage_377050</t>
  </si>
  <si>
    <t>COB_004_C003_Carta de auditoría_castellano_DazelMessage_376915.afp
COB_004_C003_Carta_de_auditorÝa_Catalan_DazelMessage_377048.afp
COB_004_C003_Carta_de_auditorÝa_Euskera_DazelMessage_377049.afp
COB_004_C003_Carta_de_auditorÝa_Gallego_DazelMessage_377050.afp</t>
  </si>
  <si>
    <t>COB_005</t>
  </si>
  <si>
    <t>Generar carta C004__AAPP Modelo 1</t>
  </si>
  <si>
    <t>Carta anterior de la tipología C004
Idioma: CA, ES, EU, GA</t>
  </si>
  <si>
    <t>Joaquin Pozo</t>
  </si>
  <si>
    <t>COB_006</t>
  </si>
  <si>
    <t>Generar carta C005__AAPP Modelo 2</t>
  </si>
  <si>
    <t>Carta anterior de la tipología C005
Idioma: CA, ES, EU, GA</t>
  </si>
  <si>
    <t>COB_007</t>
  </si>
  <si>
    <t>Generar carta C009__Carta Aviso Impago Domiciliado</t>
  </si>
  <si>
    <t>Carta anterior de la tipología C009
Idioma: CA, ES, EU, GA</t>
  </si>
  <si>
    <t>COB_007_C009_castellano
COB_007_C009_catalan
COB_007_C009_euskera
COB_007_C009_gallego</t>
  </si>
  <si>
    <t xml:space="preserve">COB_007_C009_castellano
COB_007_C009_catalan.afp
COB_007_C009_euskera.afp
COB_007_C009_gallego.afp
</t>
  </si>
  <si>
    <t>COB_008</t>
  </si>
  <si>
    <t>Generar carta C010__Carta aviso impago no domiciliado</t>
  </si>
  <si>
    <t>Carta anterior de la tipología C010
Idioma: CA, ES, EU, GA</t>
  </si>
  <si>
    <t>COB_008_carta C010_castellano_DazelMessage_376311
COB_008_carta C010_catalan_DazelMessage_377300
COB_008_carta C010_Euskera_DazelMessage_377301
COB_008_carta C010_Gallego_DazelMessage_377312</t>
  </si>
  <si>
    <t>COB_008_carta C010_castellano
COB_008_carta C010_Euskera_DazelMessage_377301.afp
COB_008_carta C010_Gallego_DazelMessage_377312.afp
COB_008_carta C010_catalan_DazelMessage_377300.afp</t>
  </si>
  <si>
    <t>COB_009</t>
  </si>
  <si>
    <t>Generar carta C011__Carta Aviso Corte Gas</t>
  </si>
  <si>
    <t>Carta anterior de la tipología C011
Idioma: CA, ES, EU, GA</t>
  </si>
  <si>
    <t>COB_009_carta C011_castellano
COB_009_carta C011_catalan_DazelMessage_377492
COB_009_carta C011_euskera_DazelMessage_377513
COB_009_carta C011_gallego_DazelMessage_377539</t>
  </si>
  <si>
    <t>COB_009_carta C011_castellano.afp
COB_009_carta C011_catalan_DazelMessage_377492.afp
COB_009_carta C011_euskera_DazelMessage_377513.afp
COB_009_carta C011_gallego_DazelMessage_377539.afp</t>
  </si>
  <si>
    <t>COB_010</t>
  </si>
  <si>
    <t>Generar carta C012__Carta Aviso Corte Electricidad</t>
  </si>
  <si>
    <t>Carta anterior de la tipología C012
Idioma: CA, ES, EU, GA</t>
  </si>
  <si>
    <t>DazelMessage_376558_C012_E.xml
DazelMessage_376558_C012_E.xml
DazelMessage_377160_C012_K.xml
DazelMessage_377163_C012_G.xml</t>
  </si>
  <si>
    <t>DazelMessage_376558_C012_E.afp.pdf
DazelMessage_377080_C012_C.afp.pdf
DazelMessage_377160_C012_K.afp.pdf
DazelMessage_377163_C012_G.afp.pdf</t>
  </si>
  <si>
    <t>COB_011</t>
  </si>
  <si>
    <t>Generar carta C013__Carta Aviso Corte GNL</t>
  </si>
  <si>
    <t>Carta anterior de la tipología C013
Idioma: CA, ES, EU, GA</t>
  </si>
  <si>
    <t>DazelMessage_376312_C013_E.xml
DazelMessage_377161_C013_K.xml
DazelMessage_377079_C013_C.xml
DazelMessage_377164_C013_G.xml</t>
  </si>
  <si>
    <t>DazelMessage_376312_C013_E.afp.pdf
DazelMessage_377161_C013_K.afp.pdf
DazelMessage_377164_C013_G.afp.pdf
DazelMessage_377079_C013_C.afp.pdf</t>
  </si>
  <si>
    <t>COB_012</t>
  </si>
  <si>
    <t>Generar carta C014__Carta Aviso Rescisión</t>
  </si>
  <si>
    <t>Carta anterior de la tipología C014
Idioma: CA, ES, EU, GA</t>
  </si>
  <si>
    <t>DazelMessage_376638_C014.xml
DazelMessage_377302_C014_K.xml
DazelMessage_376638_C014_C.xml
DazelMessage_377298_C014_G.xml</t>
  </si>
  <si>
    <t>DazelMessage_377302_C014_K.afp.pdf
DazelMessage_376638_C014.afp.pdf
DazelMessage_377298_C014_G.afp.pdf
DazelMessage_376638_C014_C.afp.pdf</t>
  </si>
  <si>
    <t>COB_013</t>
  </si>
  <si>
    <t>Generar carta C015__Jurídico</t>
  </si>
  <si>
    <t>Carta anterior de la tipología C015
Idioma: CA, ES, EU, GA</t>
  </si>
  <si>
    <t>DazelMessage_376584_C015_C.xml
DazelMessage_377219_C015_G.xml
DazelMessage_377406_C015_K.xml
DazelMessage_376584_C015.xml</t>
  </si>
  <si>
    <t>DazelMessage_376584_C015.afp.pdf
DazelMessage_377219_C015_G.afp.pdf
DazelMessage_376584_C015_C.afp.pdf
DazelMessage_377406_C015_K.afp.pdf</t>
  </si>
  <si>
    <t>COB_014</t>
  </si>
  <si>
    <t>Generar carta C016__Carta de reconocimiento de deuda Mayoristas modelo Impago</t>
  </si>
  <si>
    <t>Carta anterior de la tipología C016
Idioma: CA, ES, EU, GA</t>
  </si>
  <si>
    <t>DazelMessage_377458_C016_K.xml
DazelMessage_376339_C016_G.xml
DazelMessage_376339_C016.xml
DazelMessage_377486_C016_C.xml</t>
  </si>
  <si>
    <t>DazelMessage_377458_C016_K.afp.pdf
DazelMessage_376339_C016_G.afp.pdf
DazelMessage_377486_C016_C.afp.pdf
DazelMessage_376339_C016.afp.pdf</t>
  </si>
  <si>
    <t>COB_015</t>
  </si>
  <si>
    <t>Generar carta C017__Carta de reconocimiento de deuda Mayoristas modelo Fact acumulada</t>
  </si>
  <si>
    <t>Carta anterior de la tipología C017
Idioma: CA, ES, EU, GA</t>
  </si>
  <si>
    <t>DazelMessage_376637_C017.xml
DazelMessage_377485_C017_C.xml
DazelMessage_377457_C017_K.xml
DazelMessage_376637_C017_G.xml</t>
  </si>
  <si>
    <t>DazelMessage_376637_C017.afp.pdf
DazelMessage_377485_C017_C.afp.pdf
DazelMessage_377457_C017_K.afp.pdf
DazelMessage_376637_C017_G.afp.pdf</t>
  </si>
  <si>
    <t>COB_016</t>
  </si>
  <si>
    <t>Generar carta C018__Carta de reconocimiento de deuda Mayoristas modelo Sin clausulas</t>
  </si>
  <si>
    <t>Carta anterior de la tipología C018
Idioma: CA, ES, EU, GA</t>
  </si>
  <si>
    <t>DazelMessage_376340_C018_G.xml
DazelMessage_377643_C018_K.xml
DazelMessage_376340_C018.xml
DazelMessage_377566_C018_C.xml</t>
  </si>
  <si>
    <t>DazelMessage_376340_C018_G.afp.pdf
DazelMessage_377643_C018_K.afp.pdf
DazelMessage_377566_C018_C.afp.pdf
DazelMessage_376340_C018.afp.pdf</t>
  </si>
  <si>
    <t>COB_017</t>
  </si>
  <si>
    <t>Generar carta C019__Carta Intereses de demora</t>
  </si>
  <si>
    <t>Carta anterior de la tipología C019
Idioma: CA, ES, EU, GA</t>
  </si>
  <si>
    <t>DazelMessage_377565_C019_G.xml
DazelMessage_377617_C019_K.xml
DazelMessage_377565_C019_E.xml
DazelMessage_377565_C019_C.xml</t>
  </si>
  <si>
    <t>DazelMessage_377565_C019_E.afp.pdf
DazelMessage_377565_C019_C.afp.pdf
DazelMessage_377617_C019_K.afp.pdf
DazelMessage_377565_C019_G.afp.pdf</t>
  </si>
  <si>
    <t>Factura Gas Portugal F401-F411 Subformulario Gas Portugal Lectura mensual</t>
  </si>
  <si>
    <t>Factura Gas Portugal con Lectura mensual
Formulario: F401
Subformulario: F411
Idioma: PT</t>
  </si>
  <si>
    <t>FAC_001_PT_FT 259800004336.xml</t>
  </si>
  <si>
    <t>FAC_001_PT_FT_259800004336.afp.pdf</t>
  </si>
  <si>
    <t>Factura Gas Portugal F401-F421 Subformulario Gas Portugal Lectura diaria con curva</t>
  </si>
  <si>
    <t>Factura Gas Portugal con Lectura diaria con curvaFormulario: F401
Subformulario: F421
Idioma: PT</t>
  </si>
  <si>
    <t>FAC_002_PT_FT 259800003947</t>
  </si>
  <si>
    <t>FAC_002_PT_FT 259800003947.pdf</t>
  </si>
  <si>
    <t>Factura Gas Portugal CV (F401)</t>
  </si>
  <si>
    <t>Factura Gas Portugal CV (Cargo Vario)
Formulario: F401
Subformulario:  N/A
Idioma: PT</t>
  </si>
  <si>
    <t>FAC_003_PT_FT 259300000082.xml</t>
  </si>
  <si>
    <t>FAC_003_PT_FT 259300000082.pdf</t>
  </si>
  <si>
    <t>Factura de ajuste Gas Portugal (F401)</t>
  </si>
  <si>
    <t>Factura de ajuste Gas Portugal
Formulario: F401
Subformulario: F411/F421
Idioma: PT</t>
  </si>
  <si>
    <t>DazelMessage_378644.xml
Este XML contiene:
NroOficial	Nombre del XML	Nombre del PDF	Tipo de Cálculo
ND 2599/00000078	DazelMessage_378644.xml	DazelMessage_378644_F401.afp.pdf	Recalculo
ND 2589/00000409	DazelMessage_378644.xml	DazelMessage_378644_F401.afp.pdf	Ajuste
NC 2597/00000214	DazelMessage_378644.xml	DazelMessage_378644_F401.afp.pdf	Anulación</t>
  </si>
  <si>
    <t>DazelMessage_378644_F401.afp.pdf
Detalle de cada documento:
ND 2599/00000078 – Factura de Recalculo
En el XML: &lt;tipoCalculo&gt;Recalculo&lt;/tipoCalculo&gt;
Corresponde a una factura normal con recálculo de consumos.
ND 2589/00000409 – Nota de Débito de Ajuste
En el XML: &lt;tipoCalculo&gt;Ajuste&lt;/tipoCalculo&gt;
Es una nota de débito que complementa una factura anterior por diferencias en consumos.
NC 2597/00000214 – Nota de Crédito de Anulación
En el XML: &lt;tipoCalculo&gt;Anulacion&lt;/tipoCalculo&gt;
Es una nota de crédito que anula y rectifica íntegramente una factura previa.</t>
  </si>
  <si>
    <t>Factura de recálculo Gas Portugal (F401)</t>
  </si>
  <si>
    <t>Factura de recálculo Gas Portugal
Formulario: F401
Subformulario:F411/F421
Idioma: PT</t>
  </si>
  <si>
    <t>Factura de anulación Gas Portugal (F401)</t>
  </si>
  <si>
    <t>Factura de anulación Gas Portugal
Formulario: F401
Subformulario: F411/F421
Idioma: PT</t>
  </si>
  <si>
    <t>Factura Electricidad Portugal F402-F412 Subformulario Electricidad Portugal</t>
  </si>
  <si>
    <t>Factura Electricidad Portugal
Formulario: F402
Subformulario: F412
Idioma: PT</t>
  </si>
  <si>
    <t>FAC_007_PT_FT 259800004169</t>
  </si>
  <si>
    <t>FAC_007_PT_FT 259800004169.pdf</t>
  </si>
  <si>
    <t>Factura Electricidad Portugal CV (F402)</t>
  </si>
  <si>
    <t>Factura Electricidad Portugal CV (Cargo Vario)
Formulario: F402
Subformulario: N/A
Idioma: PT</t>
  </si>
  <si>
    <t>FAC_008_PT_NC 259200000009.xml</t>
  </si>
  <si>
    <t>FAC_008_PT_NC 259200000009.pdf</t>
  </si>
  <si>
    <t>Factura de ajuste Electricidad Portugal (F402)</t>
  </si>
  <si>
    <t>Factura de ajuste Electricidad Portugal
Formulario: F402
Subformulario: N/A
Idioma: PT</t>
  </si>
  <si>
    <t>DazelMessage_378648.xml</t>
  </si>
  <si>
    <t>DazelMessage_378648_F402.afp.pdf</t>
  </si>
  <si>
    <t>Factura de recálculo Electricidad Portugal (F402)</t>
  </si>
  <si>
    <t>Factura de recálculo Electricidad Portugal
Formulario: F402
Subformulario: N/A
Idioma: PT</t>
  </si>
  <si>
    <t>DazelMessage_378645.xml
NroOficial	Nombre XML	Nombre PDF	Tipo de Factura
NC 2597/00000203	DazelMessage_378645.xml	DazelMessage_378645_F402.afp.pdf	Anulación
ND 2599/00000077	DazelMessage_378645.xml	DazelMessage_378645_F402.afp.pdf	Recalculo</t>
  </si>
  <si>
    <t>DazelMessage_378645_F402.afp.pdf
NroOficial	Nombre XML	Nombre PDF	Tipo de Factura
NC 2597/00000203	DazelMessage_378645.xml	DazelMessage_378645_F402.afp.pdf	Anulación
ND 2599/00000077	DazelMessage_378645.xml	DazelMessage_378645_F402.afp.pdf	Recalculo</t>
  </si>
  <si>
    <t>Factura de anulación Electricidad Portugal (F402)</t>
  </si>
  <si>
    <t>Factura de anulación Electricidad Portugal
Formulario: F402
Subformulario: N/A
Idioma: PT</t>
  </si>
  <si>
    <t>COB_018</t>
  </si>
  <si>
    <t>Generar carta C401__Carta de reconocimiento de deuda Mayoristas PT modelo Impago</t>
  </si>
  <si>
    <t>Carta anterior de la tipología C401
Idioma: PT</t>
  </si>
  <si>
    <t>COB_018_C401__Carta de reconocimiento de deuda Mayoristas PT modelo Impago</t>
  </si>
  <si>
    <t>COB_018_C401__Carta_de_reconocimiento_de_deuda_Mayoristas_PT_modelo_Impago.afp (1),pdf</t>
  </si>
  <si>
    <t>COB_019</t>
  </si>
  <si>
    <t>Generar carta C402__Carta de reconocimiento de deuda Mayoristas PT  modelo Sin claúsulas</t>
  </si>
  <si>
    <t>Carta anterior de la tipología C402
Idioma: PT</t>
  </si>
  <si>
    <t>COB_019_C402__Carta de reconocimiento de deuda Mayoristas PT  modelo Sin claúsulas</t>
  </si>
  <si>
    <t>COB_019_C402__Carta_de_reconocimiento_de_deuda_Mayoristas_PT_modelo_Sin_claŽ‡sulas.afp (1).pdf</t>
  </si>
  <si>
    <t>Ámbito de prueba</t>
  </si>
  <si>
    <t>Comentarios Negocio</t>
  </si>
  <si>
    <t>Sector</t>
  </si>
  <si>
    <t>Proyecto Compositor Documental - CRGP</t>
  </si>
  <si>
    <t>Cálculo Emisión Impresión Producto TUR 1 Tarifa ATR RL.1 Factura de energía de gas
Idioma: CA, ES, EU, GA
Domiciliada</t>
  </si>
  <si>
    <t>Proyecto Compositor Documental</t>
  </si>
  <si>
    <t>Suministro de Gas
Tarifa de acceso RL.1 Sin Planta Satélite
Tarifa comercial TUR 1
ATR sin curva diaria
Formulario: F351</t>
  </si>
  <si>
    <t>1. Se accede a la pantalla de Gestión de órdenes de cálculo, a través de Menú &gt; Facturación &gt; Proceso de cálculo, se introduce la OC de los datos de prueba y se pulsa Buscar.
2. Se selecciona la OC y se pulsa Calcular.
3. En la pantalla de Consulta de log se recupera el DC generado.
4. Se accede a la pantalla Consulta Documento de Cálculo, se introduce el DC y se pulsa Buscar.
5. Se pulsa sobre el hipervínculo del documento de cálculo para acceder al detalle.
6. Se accede a la pantalla de Facturación masiva de documentos de cálculo, a través de Menú &gt; Facturación &gt; Proceso de emisión, se introduce el cálculo de los datos de prueba y se pulsa Facturar.
7. En la pantalla de Consulta de log se recupera la factura generada.
8. Se accede a la pantalla de Gestión de Facturas, a través de Menú &gt; Facturación &gt; Proceso de Emisión, se introduce la factura de los datos de prueba y se pulsa Buscar.
9. Se pulsa sobre el hiperlink Nº Factura.
10. Se accede a la solapa Ver Doc. Impresión</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</si>
  <si>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en el idioma del SE de la cuenta correctamente todos los apartados de la factura de energía de gas</t>
  </si>
  <si>
    <t>Gas</t>
  </si>
  <si>
    <t>Toñi Olivares / Natalia Gil (M. Simón)</t>
  </si>
  <si>
    <t>DazelMessage_233568333.xml FE25137021610825 CASTELLANO
DazelMessage_233568296.xml FE25137021610825 CATALAN
DazelMessage_233568308.xml FE25137021610825 EUSKERA
DazelMessage_233568320.xml FE25137021610825 GALLEGO</t>
  </si>
  <si>
    <t>DazelMessage_233568333.afp FE25137021610825 CASTELLANO
DazelMessage_233568296.afp FE25137021610825 CATALAN
DazelMessage_233568308.afp FE25137021610825 EUSKERA
DazelMessage_233568320.afp FE25137021610825 GALLEGO</t>
  </si>
  <si>
    <t>Cálculo Emisión Impresión Producto TUR 1 Tarifa ATR RL.1 Factura de energía de gas
Idioma: CA, ES, EU, GA
No Domiciliada (con código de barras)</t>
  </si>
  <si>
    <t>Suministro de Gas
Tarifa de acceso RL.1 Sin Planta Satélite
Tarifa comercial TUR 1
ATR sin curva diaria
Formulario: F352</t>
  </si>
  <si>
    <t>DazelMessage_233568333.xml FE25137015443779 CASTELLANO
DazelMessage_233568296.xml FE25137015443779 CATALAN
DazelMessage_233568308.xml FE25137015443779 EUSKERA
DazelMessage_233568320.xml FE25137015443779 GALLEGO</t>
  </si>
  <si>
    <t>DazelMessage_233568333.afp FE25137015443779 CASTELLANO
DazelMessage_233568296.afp FE25137015443779 CATALAN
DazelMessage_233568308.afp FE25137015443779 EUSKERA
DazelMessage_233568320.afp FE25137015443779 GALLEGO</t>
  </si>
  <si>
    <t>Suministro de Gas
Tarifa de acceso RL.1 Con Planta Satélite
Tarifa comercial TUR 1
ATR sin curva diaria
Formulario: F351</t>
  </si>
  <si>
    <t>No Aplica. Ya hay casos de PS para tarifas RLPS.*</t>
  </si>
  <si>
    <t xml:space="preserve">Cálculo Emisión Impresión Producto TUR 2 Tarifa ATR RL.2 Factura de energía de gas
Idioma: CA, ES, EU, GA
Domiciliada </t>
  </si>
  <si>
    <t>Suministro de Gas
Tarifa de acceso RL.2 Sin Planta Satélite
Tarifa comercial TUR 2
ATR sin curva diaria
Formulario: F353</t>
  </si>
  <si>
    <t>DazelMessage_233568331.xml FE25137021628868 CASTELLANO
DazelMessage_233568293.xml FE25137021628868 CATALAN
DazelMessage_233568305.xml FE25137021628868 EUSKERA
DazelMessage_233568318.xml FE25137021628868 GALLEGO</t>
  </si>
  <si>
    <t>DazelMessage_233568331.afp FE25137021628868 CASTELLANO
DazelMessage_233568293.afp FE25137021628868 CATALAN
DazelMessage_233568305.afp FE25137021628868 EUSKERA
DazelMessage_233568318.afp FE25137021628868 GALLEGO</t>
  </si>
  <si>
    <t>Cálculo Emisión Impresión Producto TUR 2 Tarifa ATR RL.2 Factura de energía de gas
Idioma: CA, ES, EU, GA
No domiciliada (con código de barras)</t>
  </si>
  <si>
    <t>Suministro de Gas
Tarifa de acceso RL.2 Sin Planta Satélite
Tarifa comercial TUR 2
ATR sin curva diaria
Formulario: F354</t>
  </si>
  <si>
    <t xml:space="preserve">DazelMessage_233568331.xml FE25137016762935 CASTELLANO
DazelMessage_233568293.xml FE25137016762935 CATALAN
DazelMessage_233568305.xml FE25137016762935 EUSKERA
DazelMessage_233568318.xml FE25137016762935 GALLEGO </t>
  </si>
  <si>
    <t>DazelMessage_233568331.afp FE25137016762935 CASTELLANO
DazelMessage_233568293.afp FE25137016762935 CATALAN
DazelMessage_233568305.afp FE25137016762935 EUSKERA
DazelMessage_233568318.afp FE25137016762935 GALLEGO</t>
  </si>
  <si>
    <t xml:space="preserve">Cálculo Emisión Impresión Producto TUR 3 Tarifa ATR RL.3 Factura de energía de gas
Idioma: CA, ES, EU, GA
Domiciliada </t>
  </si>
  <si>
    <t>Suministro de Gas
Tarifa de acceso RL.3 Sin Planta Satélite
Tarifa comercial TUR 3
ATR sin curva diaria
Formulario: F365</t>
  </si>
  <si>
    <t>DazelMessage_233568339.xml FE25137021620562 CASTELLANO
DazelMessage_233568295.xml FE25137021620562 CATALAN
DazelMessage_233568310.xml FE25137021620562 EUSKERA
DazelMessage_233568321.xml FE25137021620562 GALLEGO</t>
  </si>
  <si>
    <t>DazelMessage_233568339.afp FE25137021620562 CASTELLANO
DazelMessage_233568295.afp FE25137021620562 CATALAN
DazelMessage_233568310.afp FE25137021620562 EUSKERA
DazelMessage_233568321.afp FE25137021620562 GALLEGO</t>
  </si>
  <si>
    <t>Cálculo Emisión Impresión Producto TUR 3 Tarifa ATR RL.3 Factura de energía de gas
Idioma: CA, ES, EU, GA
No domiciliada (con código de barras)</t>
  </si>
  <si>
    <t>Suministro de Gas
Tarifa de acceso RL.3 Sin Planta Satélite
Tarifa comercial TUR 3
ATR sin curva diaria
Formulario: F366</t>
  </si>
  <si>
    <t>DazelMessage_233568339.xml FE25137017148531 CASTELLANO
DazelMessage_233568295.xml FE25137017148531 CATALAN
DazelMessage_233568310.xml FE25137017148531 EUSKERA
DazelMessage_233568321.xml FE25137017148531 GALLEGO</t>
  </si>
  <si>
    <t>DazelMessage_233568339.afp FE25137017148531 CASTELLANO
DazelMessage_233568295.afp FE25137017148531 CATALAN
DazelMessage_233568310.afp FE25137017148531 EUSKERA
DazelMessage_233568321.afp FE25137017148531 GALLEGO</t>
  </si>
  <si>
    <t xml:space="preserve">Cálculo Emisión Impresión Producto TUR 1, TUR2 o TUR3 Cualquier Tarifa ATR anterior a peajes 2025 RLPS.1, RLPS.2 o RLPS.3  Factura de energía de gas
Idioma: CA, ES, EU, GA
Domiciliada </t>
  </si>
  <si>
    <t>Suministro de Gas
Cualquier Tarifa de acceso anterior a peajes 2025 ATR RLPS.1, RLPS.2 o RLPS.3
Tarifa comercial TUR1, TUR2 o TUR3
ATR con o sin curva diaria
Formularios: F351, F353 o F365</t>
  </si>
  <si>
    <t>DazelMessage_233568338.xml FE25137021547483 CASTELLANO
DazelMessage_233568297.xml FE25137021547483 CATALAN
DazelMessage_233568309.xml FE25137021547483 EUSKERA
DazelMessage_233568326.xml FE25137021547483 GALLEGO</t>
  </si>
  <si>
    <t>DazelMessage_233568338.afp FE25137021547483 CASTELLANO
DazelMessage_233568297.afp FE25137021547483 CATALAN
DazelMessage_233568309.afp FE25137021547483 EUSKERA
DazelMessage_233568326.afp FE25137021547483 GALLEGO</t>
  </si>
  <si>
    <t xml:space="preserve">Cálculo de abono Factura de anulación Impresión Producto TUR 1, TUR2 o TUR3 Cualquier Tarifa ATR RL.1, RL.2 o RL.3  Factura de energía de gas
Idioma: CA, ES, EU, GA
Domiciliada </t>
  </si>
  <si>
    <t>Suministro de Gas
Cualquier Tarifa de acceso RL.1, RL.2 o RL.3 con o sin Planta Satélite
Tarifa comercial TUR1, TUR2 o TUR3
ATR con o sin curva diaria
Formularios: F351, F353 o F365</t>
  </si>
  <si>
    <t>DazelMessage_233568331.xml SU25137000160153 CASTELLANO
DazelMessage_233568293.xml SU25137000160153 CATALAN
DazelMessage_233568305.xml SU25137000160153 EUSKERA
DazelMessage_233568318.xml SU25137000160153 GALLEGO</t>
  </si>
  <si>
    <t>DazelMessage_233568331.afp SU25137000160153 CASTELLANO
DazelMessage_233568293.afp SU25137000160153 CATALAN
DazelMessage_233568305.afp SU25137000160153 EUSKERA
DazelMessage_233568318.afp SU25137000160153 GALLEGO</t>
  </si>
  <si>
    <t xml:space="preserve">Recálculo Refacturación Impresión Producto TUR 1, TUR2 o TUR3 Cualquier Tarifa ATR RL.1, RL.2 o RL.3  Factura de energía de gas
Idioma: CA, ES, EU, GA
Domiciliada </t>
  </si>
  <si>
    <t>DazelMessage_233568339.xml RE25137000100915 CASTELLANO
DazelMessage_233568295.xml RE25137000100915 CATALAN
DazelMessage_233568310.xml RE25137000100915 EUSKERA
DazelMessage_233568321.xml RE25137000100915 GALLEGO</t>
  </si>
  <si>
    <t>DazelMessage_233568339.afp RE25137000100915 CASTELLANO
DazelMessage_233568295.afp RE25137000100915 CATALAN
DazelMessage_233568310.afp RE25137000100915 EUSKERA
DazelMessage_233568321.afp RE25137000100915 GALLEGO</t>
  </si>
  <si>
    <t xml:space="preserve">Cálculo de Ajuste Factura de ajuste Impresión Producto TUR 1, TUR2 o TUR3 Cualquier Tarifa ATR RL.1, RL.2 o RL.3  Factura de energía de gas
Idioma: CA, ES, EU, GA
Domiciliada </t>
  </si>
  <si>
    <t>DazelMessage_233568333.xml AE25137000349203 CASTELLANO
DazelMessage_233568296.xml AE25137000349203 CATALAN
DazelMessage_233568308.xml AE25137000349203 EUSKERA
DazelMessage_233568320.xml AE25137000349203 GALLEGO</t>
  </si>
  <si>
    <t>DazelMessage_233568333.afp AE25137000349203 CASTELLANO
DazelMessage_233568296.afp AE25137000349203 CATALAN
DazelMessage_233568308.afp AE25137000349203 EUSKERA
DazelMessage_233568320.afp AE25137000349203 GALLEGO</t>
  </si>
  <si>
    <t xml:space="preserve">Cálculo Factura  Impresión Producto TUR 1, TUR2 o TUR3 Cualquier Tarifa ATR RL.1, RL.2 o RL.3  Factura de energía de gas con cambio de precios
Idioma: CA, ES, EU, GA
Domiciliada </t>
  </si>
  <si>
    <t>Suministro de Gas con cambio de precios
Cualquier Tarifa de acceso RL.1, RL.2 o RL.3 con o sin Planta Satélite
Tarifa comercial TUR1, TUR2 o TUR3
ATR con o sin curva diaria
Formularios: F351, F353 o F365</t>
  </si>
  <si>
    <t>DazelMessage_233568338.xml FE25137004394691 CASTELLANO
DazelMessage_233568297.xml FE25137004394691 CATALAN
DazelMessage_233568309.xml FE25137004394691 EUSKERA
DazelMessage_233568326.xml FE25137004394691 GALLEGO</t>
  </si>
  <si>
    <t>DazelMessage_233568338.afp FE25137004394691 CASTELLANO
DazelMessage_233568297.afp FE25137004394691 CATALAN
DazelMessage_233568309.afp FE25137004394691 EUSKERA
DazelMessage_233568326.afp FE25137004394691 GALLEGO</t>
  </si>
  <si>
    <t xml:space="preserve">Cálculo Factura  Impresión Producto TUR 1, TUR2 o TUR3 Cualquier Tarifa ATR RL.1, RL.2 o RL.3  Factura de energía de gas con Cortes y Reenganches (CyR)
Idioma: CA, ES, EU, GA
Domiciliada </t>
  </si>
  <si>
    <t>Suministro de Gas con Cortes y Reenganches (CyR)
Cualquier Tarifa de acceso RL.1, RL.2 o RL.3 con o sin Planta Satélite
Tarifa comercial TUR1, TUR2 o TUR3
ATR con o sin curva diaria
Formularios: F351, F353 o F365</t>
  </si>
  <si>
    <t>DazelMessage_233648254.xml FE24137012785687 CASTELLANO
DazelMessage_233648264.xml FE24137012785687 CATALAN
DazelMessage_233648269.xml FE24137012785687 EUSKERA
DazelMessage_233648277.xml FE24137012785687 GALLEGO</t>
  </si>
  <si>
    <t>DazelMessage_233648254.afp FE24137012785687 CASTELLANO
DazelMessage_233648264.afp FE24137012785687 CATALAN
DazelMessage_233648269.afp FE24137012785687 EUSKERA
DazelMessage_233648277.afp FE24137012785687 GALLEGO</t>
  </si>
  <si>
    <t xml:space="preserve">Cálculo Factura  Impresión Producto TUR 1, TUR2 o TUR3 Cualquier Tarifa ATR RL.1, RL.2 o RL.3  Factura de energía de gas con Cambio de aparato en el mismo periódo de cálculo
Idioma: CA, ES, EU, GA
Domiciliada </t>
  </si>
  <si>
    <t>Suministro de Gas con Cambio de aparato en el mismo periódo de cálculo
Cualquier Tarifa de acceso RL.1, RL.2 o RL.3 con o sin Planta Satélite
Tarifa comercial TUR1, TUR2 o TUR3
ATR con o sin curva diaria
Formularios: F351, F353 o F365</t>
  </si>
  <si>
    <t xml:space="preserve">No Aplica. Los casos de cambio de aparato en el mismo periodo de cálculo no se pueden dar sino es por una operativa incorrecta por parte de usuario. </t>
  </si>
  <si>
    <t xml:space="preserve">Cálculo Factura  Impresión Producto TUR 1, TUR2 o TUR3 Cualquier Tarifa ATR RL.1, RL.2 o RL.3  Factura de energía de gas con modo de envío Factura-e
Idioma: CA, ES, EU, GA
Domiciliada </t>
  </si>
  <si>
    <t>Suministro de Gas con modo de envío Factura-e
Cualquier Tarifa de acceso RL.1, RL.2 o RL.3 con o sin Planta Satélite
Tarifa comercial TUR1, TUR2 o TUR3
ATR con o sin curva diaria
Formularios: F351, F353 o F365</t>
  </si>
  <si>
    <t>1. Se accede a la pantalla de Gestión de órdenes de cálculo, a través de Menú &gt; Facturación &gt; Proceso de cálculo, se introduce la OC de los datos de prueba y se pulsa Buscar.
2. Se selecciona la OC y se pulsa Calcular.
3. En la pantalla de Consulta de log se recupera el DC generado.
4. Se accede a la pantalla Consulta Documento de Cálculo, se introduce el DC y se pulsa Buscar.
5. Se pulsa sobre el hipervínculo del documento de cálculo para acceder al detalle.
6. Se accede a la pantalla de Facturación masiva de documentos de cálculo, a través de Menú &gt; Facturación &gt; Proceso de emisión, se introduce el cálculo de los datos de prueba y se pulsa Facturar.
7. En la pantalla de Consulta de log se recupera la factura generada.
8. Se accede a la pantalla de Gestión de Facturas, a través de Menú &gt; Facturación &gt; Proceso de Emisión, se introduce la factura de los datos de prueba y se pulsa Buscar.
9. Se pulsa sobre el hiperlink Nº Factura.
10. Se accede a la solapa Ver Doc. Impresión
11. Se accede a la solapa Visualizar XML</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</si>
  <si>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de cortesía de Factura-e, en el idioma del SE de la cuenta correctamente todos los apartados de la factura de energía de gas
8. Se comprueba el XML de facturación electrónica (Factura-e):</t>
  </si>
  <si>
    <t>DazelMessage_233568337.xml FE25137018661830 CASTELLANO
DazelMessage_233568301.xml FE25137018661830 CATALAN
DazelMessage_233568315.xml FE25137018661830 EUSKERA
DazelMessage_233568328.xml FE25137018661830 GALLEGO</t>
  </si>
  <si>
    <t>DazelMessage_233568337.afp FE25137018661830 CASTELLANO
DazelMessage_233568301.afp FE25137018661830 CATALAN
DazelMessage_233568315.afp FE25137018661830 EUSKERA
DazelMessage_233568328.afp FE25137018661830 GALLEGO</t>
  </si>
  <si>
    <t xml:space="preserve">Cálculo Emisión Impresión Producto Transitorio Tarifa ATR RL.4 Factura de energía de gas
Idioma: CA, ES, EU, GA
Domiciliada </t>
  </si>
  <si>
    <t>Suministro de Gas
Tarifa de acceso RL.4 Sin Planta Satélite
Tarifa comercial Transitoria
ATR sin curva diaria
Formulario: F367</t>
  </si>
  <si>
    <t>DazelMessage_233568336.xml FE25137020291633 CASTELLANO
DazelMessage_233568292.xml FE25137020291633 CATALAN
DazelMessage_233568307.xml FE25137020291633 EUSKERA
DazelMessage_233568322.xml FE25137020291633 GALLEGO</t>
  </si>
  <si>
    <t>DazelMessage_233568336.afp FE25137020291633 CASTELLANO
DazelMessage_233568292.afp FE25137020291633 CATALAN
DazelMessage_233568307.afp FE25137020291633 EUSKERA
DazelMessage_233568322.afp FE25137020291633 GALLEGO</t>
  </si>
  <si>
    <t>Cálculo Emisión Impresión Producto Transitorio Tarifa ATR RL.4 Factura de energía de gas
Idioma: CA, ES, EU, GA
No domiciliada (con código de barras)</t>
  </si>
  <si>
    <t>Suministro de Gas
Tarifa de acceso RL.4 Sin Planta Satélite
Tarifa comercial Transitoria
ATR sin curva diaria
Formulario: F368</t>
  </si>
  <si>
    <t>DazelMessage_233568336.xml FE25137021440878 CASTELLANO
DazelMessage_233568292.xml FE25137021440878 CATALAN
DazelMessage_233568307.xml FE25137021440878 EUSKERA
DazelMessage_233568322.xml FE25137021440878 GALLEGO</t>
  </si>
  <si>
    <t>DazelMessage_233568336.afp FE25137021440878 CASTELLANO
DazelMessage_233568292.afp FE25137021440878 CATALAN
DazelMessage_233568307.afp FE25137021440878 EUSKERA
DazelMessage_233568322.afp FE25137021440878 GALLEGO</t>
  </si>
  <si>
    <t xml:space="preserve">Cálculo Emisión Impresión Producto TUR CCPP Tarifa ATR RL.4 Factura de energía de gas
Idioma: CA, ES, EU, GA
Domiciliada </t>
  </si>
  <si>
    <t>Suministro de Gas
Tarifa de acceso RL.4 Sin Planta Satélite
Tarifa comercial TUR CCPP
ATR sin curva diaria
Formulario: F367</t>
  </si>
  <si>
    <t>DazelMessage_233568336.xml FE25137020421072 CASTELLANO
DazelMessage_233568292.xml FE25137020421072 CATALAN
DazelMessage_233568307.xml FE25137020421072 EUSKERA
DazelMessage_233568322.xml FE25137020421072 GALLEGO</t>
  </si>
  <si>
    <t>DazelMessage_233568336.afp FE25137020421072 CASTELLANO
DazelMessage_233568292.afp FE25137020421072 CATALAN
DazelMessage_233568307.afp FE25137020421072 EUSKERA
DazelMessage_233568322.afp FE25137020421072 GALLEGO</t>
  </si>
  <si>
    <t>Cálculo Emisión Impresión Producto TUR CCPP Tarifa ATR RL.4 Factura de energía de gas
Idioma: CA, ES, EU, GA
No domiciliada (con código de barras)</t>
  </si>
  <si>
    <t>Suministro de Gas
Tarifa de acceso RL.4 Sin Planta Satélite
Tarifa comercial TUR CCPP
ATR sin curva diaria
Formulario: F368</t>
  </si>
  <si>
    <t>DazelMessage_233568336.xml RE24137000144430 CASTELLANO
DazelMessage_233568292.xml RE24137000144430 CATALAN
DazelMessage_233568307.xml RE24137000144430 EUSKERA
DazelMessage_233568322.xml RE24137000144430 GALLEGO</t>
  </si>
  <si>
    <t>DazelMessage_233568336.afp RE24137000144430 CASTELLANO
DazelMessage_233568292.afp RE24137000144430 CATALAN
DazelMessage_233568307.afp RE24137000144430 EUSKERA
DazelMessage_233568322.afp RE24137000144430 GALLEGO</t>
  </si>
  <si>
    <t>Cálculo Emisión Impresión Producto Suministro Provisional 3.4 Antigua Tarifa ATR 3.4 Factura de energía de gas
Idioma: CA, ES, EU, GA
Domiciliada</t>
  </si>
  <si>
    <t>Suministro de Gas
Tarifa de acceso 3.4
Tarifa comercial Suministro Provisional 3.4
ATR sin curva diaria
Formulario: F357</t>
  </si>
  <si>
    <t>DazelMessage_233568339.xml FE21137024493634 CASTELLANO
DazelMessage_233568295.xml FE21137024493634 CATALAN
DazelMessage_233568310.xml FE21137024493634 EUSKERA
DazelMessage_233568321.xml FE21137024493634 GALLEGO</t>
  </si>
  <si>
    <t>DazelMessage_233568339.afp FE21137024493634 CASTELLANO
DazelMessage_233568295.afp FE21137024493634 CATALAN
DazelMessage_233568310.afp FE21137024493634 EUSKERA
DazelMessage_233568321.afp FE21137024493634 GALLEGO</t>
  </si>
  <si>
    <t>Cálculo Emisión Impresión Producto Suministro Provisional 3.4 Antigua Tarifa ATR 3.4 Factura de energía de gas
Idioma: CA, ES, EU, GA
No domiciliada (sin código de barras)</t>
  </si>
  <si>
    <t>Suministro de Gas
Tarifa de acceso 3.4
Tarifa comercial Suministro Provisional 3.4
ATR sin curva diaria
Formulario: F358</t>
  </si>
  <si>
    <t>DazelMessage_233568338.xml FE21137025418869 CASTELLANO
DazelMessage_233568297.xml FE21137025418869 CATALAN
DazelMessage_233568309.xml FE21137025418869 EUSKERA
DazelMessage_233568326.xml FE21137025418869 GALLEGO</t>
  </si>
  <si>
    <t>DazelMessage_233568338.afp FE21137025418869 CASTELLANO
DazelMessage_233568297.afp FE21137025418869 CATALAN
DazelMessage_233568309.afp FE21137025418869 EUSKERA
DazelMessage_233568326.afp FE21137025418869 GALLEGO</t>
  </si>
  <si>
    <t xml:space="preserve">Cálculo Emisión Impresión Producto Transitorio Cualquier Tarifa ATR RL.5-RL.11 Factura de energía de gas
Idioma: CA, ES, EU, GA
Domiciliada </t>
  </si>
  <si>
    <t>Suministro de Gas
Cualquier Tarifa de acceso RL.5-RL.11 Sin Planta Satélite
Tarifa comercial Transitoria
ATR con o sin curva diaria
Formulario: F367</t>
  </si>
  <si>
    <t>DazelMessage_233568336.xml FE25137021534304 CASTELLANO
DazelMessage_233568292.xml FE25137021534304 CATALAN
DazelMessage_233568307.xml FE25137021534304 EUSKERA
DazelMessage_233568322.xml FE25137021534304 GALLEGO</t>
  </si>
  <si>
    <t>DazelMessage_233568336.afp FE25137021534304 CASTELLANO
DazelMessage_233568292.afp FE25137021534304 CATALAN
DazelMessage_233568307.afp FE25137021534304 EUSKERA
DazelMessage_233568322.afp FE25137021534304 GALLEGO</t>
  </si>
  <si>
    <t xml:space="preserve">Cálculo Emisión Impresión Producto Transitorio Cualquier Tarifa ATR anterior a peajes 2025 RLTA.5, RLTB.5, RLTA.6, RLTB.6, RLTA.7 o RLTB.7 Factura de energía de gas
Idioma: CA, ES, EU, GA
Domiciliada </t>
  </si>
  <si>
    <t>Suministro de Gas
Cualquier Tarifa de acceso anterior a peajes 2025 RLTA.5, RLTB.5, RLTA.6, RLTB.6, RLTA.7 o RLTB.7
Tarifa comercial Transitoria
ATR con o sin curva diaria
Formulario: F367</t>
  </si>
  <si>
    <t>DazelMessage_233568336.xml FE25137019693228 CASTELLANO
DazelMessage_233568292.xml FE25137019693228 CATALAN
DazelMessage_233568307.xml FE25137019693228 EUSKERA
DazelMessage_233568322.xml FE25137019693228 GALLEGO</t>
  </si>
  <si>
    <t>DazelMessage_233568336.afp FE25137019693228 CASTELLANO
DazelMessage_233568292.afp FE25137019693228 CATALAN
DazelMessage_233568307.afp FE25137019693228 EUSKERA
DazelMessage_233568322.afp FE25137019693228 GALLEGO</t>
  </si>
  <si>
    <t xml:space="preserve">Cálculo Emisión Impresión Producto Transitorio Cualquier Tarifa ATR anterior a peajes 2025 RLPS.4, RLPS.5, RLPS.6, RLPS.7 o RLPS.8  Factura de energía de gas
Idioma: CA, ES, EU, GA
Domiciliada </t>
  </si>
  <si>
    <t>Suministro de Gas
Cualquier Tarifa de acceso anterior a peajes 2025 ATR RLPS.4, RLPS.5, RLPS.6, RLPS.7 o RLPS.8
Tarifa comercial Transitoria
ATR con o sin curva diaria
Formulario: F367</t>
  </si>
  <si>
    <t>DazelMessage_233568338.xml FE25137019430988 CASTELLANO
DazelMessage_233568297.xml FE25137019430988 CATALAN
DazelMessage_233568309.xml FE25137019430988 EUSKERA
DazelMessage_233568326.xml FE25137019430988 GALLEGO</t>
  </si>
  <si>
    <t>DazelMessage_233568338.afp FE25137019430988 CASTELLANO
DazelMessage_233568297.afp FE25137019430988 CATALAN
DazelMessage_233568309.afp FE25137019430988 EUSKERA
DazelMessage_233568326.afp FE25137019430988 GALLEGO</t>
  </si>
  <si>
    <t xml:space="preserve">Cálculo de abono Factura de anulación Impresión Producto Transitorio o TUR CCPP Cualquier Tarifa ATR RL.4-RL.11 Factura de energía de gas
Idioma: CA, ES, EU, GA
Domiciliada </t>
  </si>
  <si>
    <t>Suministro de Gas
Cualquier Tarifa de acceso RL.4-R.11 con o sin Planta Satélite
Tarifa comercial Transitoria o TUR CCPP
ATR con o sin curva diaria
Formularios: F367</t>
  </si>
  <si>
    <t>DazelMessage_233568336.xml SU24137000221852 CASTELLANO
DazelMessage_233568292.xml SU24137000221852 CATALAN
DazelMessage_233568307.xml SU24137000221852 EUSKERA
DazelMessage_233568322.xml SU24137000221852 GALLEGO</t>
  </si>
  <si>
    <t>DazelMessage_233568336.afp SU24137000221852 CASTELLANO
DazelMessage_233568292.afp SU24137000221852 CATALAN
DazelMessage_233568307.afp SU24137000221852 EUSKERA
DazelMessage_233568322.afp SU24137000221852 GALLEGO</t>
  </si>
  <si>
    <t xml:space="preserve">Recálculo Refacturación Impresión Producto Transitorio o TUR CCPP Cualquier Tarifa ATR RL.4-RL.11  Factura de energía de gas
Idioma: CA, ES, EU, GA
Domiciliada </t>
  </si>
  <si>
    <t>Suministro de Gas
Cualquier Tarifa de acceso RL.4-RL.11 con o sin Planta Satélite
Tarifa comercial Transitoria o TUR CCPP
ATR con o sin curva diaria
Formularios: F367</t>
  </si>
  <si>
    <t>DazelMessage_233568336.xml RE24137000011167 CASTELLANO
DazelMessage_233568292.xml RE24137000011167 CATALAN
DazelMessage_233568307.xml RE24137000011167 EUSKERA
DazelMessage_233568322.xml RE24137000011167 GALLEGO</t>
  </si>
  <si>
    <t>DazelMessage_233568336.afp RE24137000011167 CASTELLANO
DazelMessage_233568292.afp RE24137000011167 CATALAN
DazelMessage_233568307.afp RE24137000011167 EUSKERA
DazelMessage_233568322.afp RE24137000011167 GALLEGO</t>
  </si>
  <si>
    <t xml:space="preserve">Cálculo de Ajuste Factura de ajuste Impresión Producto Transitorio o TUR CCPP Cualquier Tarifa ATR RL.4-RL.11  Factura de energía de gas
Idioma: CA, ES, EU, GA
Domiciliada </t>
  </si>
  <si>
    <t>DazelMessage_233568338.xml AE25137000283255 CASTELLANO
DazelMessage_233568297.xml AE25137000283255 CATALAN
DazelMessage_233568309.xml AE25137000283255 EUSKERA
DazelMessage_233568326.xml AE25137000283255 GALLEGO</t>
  </si>
  <si>
    <t>DazelMessage_233568338.afp AE25137000283255 CASTELLANO
DazelMessage_233568297.afp AE25137000283255 CATALAN
DazelMessage_233568309.afp AE25137000283255 EUSKERA
DazelMessage_233568326.afp AE25137000283255 GALLEGO</t>
  </si>
  <si>
    <t xml:space="preserve">Cálculo Factura  Impresión Producto Transitorio o TUR CCPP Cualquier Tarifa ATR RL.4-RL.11  Factura de energía de gas  con cambio de precios
Idioma: CA, ES, EU, GA
Domiciliada </t>
  </si>
  <si>
    <t>Suministro de Gas con cambio de precios
Cualquier Tarifa de acceso RL.4-RL.11 con o sin Planta Satélite
Tarifa comercial Transitoria o TUR CCPP
ATR con o sin curva diaria
Formularios: F367</t>
  </si>
  <si>
    <t>DazelMessage_233568336.xml FE25137000545538 CASTELLANO
DazelMessage_233568292.xml FE25137000545538 CATALAN
DazelMessage_233568307.xml FE25137000545538 EUSKERA
DazelMessage_233568322.xml FE25137000545538 GALLEGO</t>
  </si>
  <si>
    <t>DazelMessage_233568336.afp FE25137000545538 CASTELLANO
DazelMessage_233568292.afp FE25137000545538 CATALAN
DazelMessage_233568307.afp FE25137000545538 EUSKERA
DazelMessage_233568322.afp FE25137000545538 GALLEGO</t>
  </si>
  <si>
    <t xml:space="preserve">Cálculo Factura  Impresión Producto Transitorio o TUR CCPP Cualquier Tarifa ATR RL.4-RL.11  Factura de energía de gas  con Cortes y Reenganches (CyR)
Idioma: CA, ES, EU, GA
Domiciliada </t>
  </si>
  <si>
    <t>Suministro de Gas con Cortes y Reenganches (CyR)
Cualquier Tarifa de acceso RL.4-RL.11 con o sin Planta Satélite
Tarifa comercial Transitoria o TUR CCPP
ATR con o sin curva diaria
Formularios: F367</t>
  </si>
  <si>
    <t>DazelMessage_233668252.xml FE25137014208615 CASTELLANO
DazelMessage_233668260.xml FE25137014208615 CATALAN
DazelMessage_233668267.xml FE25137014208615 EUSKERA
DazelMessage_233668276.xml FE25137014208615 GALLEGO</t>
  </si>
  <si>
    <t>DazelMessage_233668252_Gas.afp FE25137014208615 CASTELLANO
DazelMessage_233668260_gas.afp FE25137014208615 CATALAN
DazelMessage_233668267_gas.afp FE25137014208615 EUSKERA
DazelMessage_233668276_gas.afp FE25137014208615 GALLEGO</t>
  </si>
  <si>
    <t xml:space="preserve">Cálculo Factura  Impresión Producto Transitorio o TUR CCPP Cualquier Tarifa ATR RL.4-RL.11  Factura de energía de gas  con Cambio de aparato en el mismo periodo de cálculo
Idioma: CA, ES, EU, GA
Domiciliada </t>
  </si>
  <si>
    <t>Suministro de Gas con Cambio de aparato en el mismo periodo de cálculo
Cualquier Tarifa de acceso RL.4-RL.11 con o sin Planta Satélite
Tarifa comercial Transitoria o TUR CCPP
ATR con o sin curva diaria
Formularios: F367</t>
  </si>
  <si>
    <t xml:space="preserve"> No Aplica. Los casos de cambio de aparato en el mismo periodo de cálculo no se pueden dar sino es por una operativa incorrecta por parte de usuario. </t>
  </si>
  <si>
    <t xml:space="preserve">Cálculo Factura  Impresión Producto Transitorio o TUR CCPP Cualquier Tarifa ATR RL.4-RL.11  Factura de energía de gas  con modo de envío Factura-e
Idioma: CA, ES, EU, GA
Domiciliada </t>
  </si>
  <si>
    <t>Suministro de Gas con modo de envío Factura-e
Cualquier Tarifa de acceso RL.4-RL.11 con o sin Planta Satélite
Tarifa comercial Transitoria o TUR CCPP
ATR con o sin curva diaria
Formularios: F367</t>
  </si>
  <si>
    <t>DazelMessage_233568338.xml FE25137020631719 CASTELLANO
DazelMessage_233568297.xml FE25137020631719 CATALAN
DazelMessage_233568309.xml FE25137020631719 EUSKERA
DazelMessage_233568326.xml FE25137020631719 GALLEGO</t>
  </si>
  <si>
    <t>DazelMessage_233568338.afp FE25137020631719 CASTELLANO
DazelMessage_233568297.afp FE25137020631719 CATALAN
DazelMessage_233568309.afp FE25137020631719 EUSKERA
DazelMessage_233568326.afp FE25137020631719 GALLEGO</t>
  </si>
  <si>
    <t xml:space="preserve">Cálculo Factura  Impresión Cambio de Producto Inmediato de Transitorio a TUR CCPP o de TUR CCPP a Transitorio Tarifa ATR RL.4  Factura de energía de gas con cambio de producto en el mismo periodo de cálculo
Idioma: CA, ES, EU, GA
Domiciliada </t>
  </si>
  <si>
    <t>Suministro de Gas con Cambio de producto inmediato (dos productos en el mismo periodo de cálculo)
Tarifa de acceso RL.4 con o sin Planta Satélite
Cambio de producto inmediato de Tarifa comercial Transitoria a TUR CCPP o de Tarifa comercial TUR CCPP a Transitoria
ATR con o sin curva diaria
Formularios: F367</t>
  </si>
  <si>
    <t>DazelMessage_233568336.xml FE24137017408600 CASTELLANO
DazelMessage_233568292.xml FE24137017408600 CATALAN
DazelMessage_233568307.xml FE24137017408600 EUSKERA
DazelMessage_233568322.xml FE24137017408600 GALLEGO</t>
  </si>
  <si>
    <t>DazelMessage_233568336.afp FE24137017408600 CASTELLANO
DazelMessage_233568292.afp FE24137017408600 CATALAN
DazelMessage_233568307.afp FE24137017408600 EUSKERA
DazelMessage_233568322.afp FE24137017408600 GALLEGO</t>
  </si>
  <si>
    <t xml:space="preserve">Cálculo Factura  Impresión con conceptos incluidos en el cálculo (Cuidas y Conceptos exentos), Cualquier tarifa ATR (RL.1-RL.11) y producto de gas (TUR1, TUR2, TUR3, Transitorio o TUR CCPP) Factura de energía de gas con conceptos incluidos en el cálculo (Cuidas y Conceptos exentos)
Idioma: CA, ES, EU, GA
Domiciliada </t>
  </si>
  <si>
    <t>Suministro de Gas con conceptos incluidos en el cálculo (Cuidas y Conceptos exentos)
Cualquier Tarifa de acceso de gas RL.1-RL.11 con o sin Planta Satélite
Cualquier de Tarifa comercial de gas TUR1, TUR2, TUR3, Transitoria o TUR CCPP
ATR con o sin curva diaria
Formularios: F351, F353, F365 o F367</t>
  </si>
  <si>
    <t>DazelMessage_233568333.xml RE24137000019921 CASTELLANO
DazelMessage_233568296.xml RE24137000019921 CATALAN
DazelMessage_233568308.xml RE24137000019921 EUSKERA
DazelMessage_233568320.xml RE24137000019921 GALLEGO</t>
  </si>
  <si>
    <t>DazelMessage_233568333.afp RE24137000019921 CASTELLANO
DazelMessage_233568296.afp RE24137000019921 CATALAN
DazelMessage_233568308.afp RE24137000019921 EUSKERA
DazelMessage_233568320.afp RE24137000019921 GALLEGO</t>
  </si>
  <si>
    <t xml:space="preserve">Cálculo Factura  Impresión sin código de barras y DIR 3 (Oficina Contable, Unidad Tramitadora y Órgano Gestor), producto TUR1, TUR2, TUR3, Transitorio o TUR CCPP) Factura de energía de gas sin código de barras y DIR 3
Idioma: CA, ES, EU, GA
No domiciliada </t>
  </si>
  <si>
    <t>Suministro de Gas sin código de barras y DIR 3 (Oficina Contable, Unidad Tramitadora y Órgano Gestor)
Cualquier Tarifa de acceso de gas RL.1-RL.11
Cualquier de Tarifa comercial de gas TUR1, TUR2, TUR3, Transitoria o TUR CCPP
ATR con o sin curva diaria
Formularios: F352, F354, F366 o F368</t>
  </si>
  <si>
    <t xml:space="preserve">Cálculo Factura  Impresión con cambio de IVA, Cualquier tarifa ATR (RL.1-RL.11) y producto de gas (TUR1, TUR2, TUR3, Transitorio o TUR CCPP) Factura de energía de gas con cambio de IVA en el mismo periodo de cálculo
Idioma: CA, ES, EU, GA
Domiciliada </t>
  </si>
  <si>
    <t>Suministro de Gas con cambio de IVA en el mismo periodo de cálculo
Cualquier Tarifa de acceso de gas RL.1-RL.11 con o sin Planta Satélite
Cualquier de Tarifa comercial de gas TUR1, TUR2, TUR3, Transitoria o TUR CCPP
ATR con o sin curva diaria
Formularios: F351, F353, F365 o F367</t>
  </si>
  <si>
    <t>DazelMessage_233568331.xml FE23137001105220 CASTELLANO
DazelMessage_233568293.xml FE23137001105220 CATALAN
DazelMessage_233568305.xml FE23137001105220 EUSKERA
DazelMessage_233568318.xml FE23137001105220 GALLEGO</t>
  </si>
  <si>
    <t>DazelMessage_233568331.afp FE23137001105220 CASTELLANO
DazelMessage_233568293.afp FE23137001105220 CATALAN
DazelMessage_233568305.afp FE23137001105220 EUSKERA
DazelMessage_233568318.afp FE23137001105220 GALLEGO</t>
  </si>
  <si>
    <t xml:space="preserve">Cálculo Factura  Impresión con impuesto I.P.S.I (Impuesto sobre la Producción, los Servicios y la Importación) en Ceuta o Melilla, Cualquier tarifa ATR (RL.1-RL.11) y producto de gas (TUR1, TUR2, TUR3, Transitorio o TUR CCPP) Factura de energía de gas con IPSI
Idioma: CA, ES, EU, GA
Domiciliada </t>
  </si>
  <si>
    <t>Suministro de Gas con impuesto I.P.S.I (Impuesto sobre la Producción, los Servicios y la Importación) en Ceuta o Melilla
Cualquier Tarifa de acceso de gas RL.1-RL.11 con o sin Planta Satélite
Cualquier de Tarifa comercial de gas TUR1, TUR2, TUR3, Transitoria o TUR CCPP
ATR con o sin curva diaria
Formularios: F351, F353, F365 o F367</t>
  </si>
  <si>
    <t xml:space="preserve">No Aplica. No hay casos de facturas de gas de Ceuta o Melilla (I.P.S.I) en sistema. </t>
  </si>
  <si>
    <t xml:space="preserve">Cálculo Factura  Impresión con impuesto I.G.I.C (Impuesto General Indirecto Canario) en Canarias, Cualquier tarifa ATR (RL.1-RL.11) y producto de gas (TUR1, TUR2, TUR3, Transitorio o TUR CCPP) Factura de energía de gas con IGIC
Idioma: CA, ES, EU, GA
Domiciliada </t>
  </si>
  <si>
    <t>Suministro de Gas con impuesto I.G.I.C (Impuesto General Indirecto Canario) en Canarias
Cualquier Tarifa de acceso de gas RL.1-RL.11 con o sin Planta Satélite
Cualquier de Tarifa comercial de gas TUR1, TUR2, TUR3, Transitoria o TUR CCPP
ATR con o sin curva diaria
Formularios: F351, F353, F365 o F367</t>
  </si>
  <si>
    <t>DazelMessage_233568333.xml FI25137000005368 CASTELLANO
DazelMessage_233568296.xml FI25137000005368 CATALAN
DazelMessage_233568308.xml FI25137000005368 EUSKERA
DazelMessage_233568320.xml FI25137000005368 GALLEGO</t>
  </si>
  <si>
    <t>DazelMessage_233568333.afp FI25137000005368 CASTELLANO
DazelMessage_233568296.afp FI25137000005368 CATALAN
DazelMessage_233568308.afp FI25137000005368 EUSKERA
DazelMessage_233568320.afp FI25137000005368 GALLEGO</t>
  </si>
  <si>
    <t>FAC_038</t>
  </si>
  <si>
    <t xml:space="preserve">Factura Separada de cargos varios de conceptos de gas Cualquier tarifa ATR (RL.1-RL.11) y producto de gas (TUR1, TUR2, TUR3, Transitorio o TUR CCPP) Factura separada de cargos varios de conceptos de gas
Idioma: CA, ES, EU, GA
Domiciliada </t>
  </si>
  <si>
    <t>Factura separada de cargos varios de conceptos de gas
Cualquier Tarifa de acceso de gas RL.1-RL.11
Formularios: F363</t>
  </si>
  <si>
    <t>1. Se accede a la pantalla de Alta de Cargos Varios, a través de Menú &gt; Facturación &gt; Proceso de Emisión, se introduce el concepto y el resto de datos obligatorios para dar de alta el CV.
2. Se pulsa Alta.
3. Se accede a la pantalla de Gestión y consulta de Cargos Varios, a través de Menú &gt; Facturación &gt; Proceso de Emisión, se introduce el código del CV generado anteriormente y se pulsa Buscar.
4. Se accede a la pantalla de Gestión y consulta de Cargos Varios, a través de Menú &gt; Facturación &gt; Proceso de Emisión, se introduce el código del CV generado anteriormente y se pulsa Facturar.
5. Se accede a la pantalla de Gestión de Facturas separadas de Cargos Varios, a través de Menú &gt; Facturación &gt; Proceso de Emisión, se introduce la factura de los datos de prueba y se pulsa Buscar.
6. Se pulsa sobre el hiperlink Nº Factura.
7. Se accede a la solapa Ver Doc. Impresión</t>
  </si>
  <si>
    <t>1. El CV se da de alta correctamente.
2. Se comprueba que el CV se ha creado correctamente.
3. Se comprueba que la factura separada de cargos varios se genera correctamente
4. La factura se recupera correctamente.
5. Se accede al detalle de la factura.
6. Se comprueba que el documento de impresión es correcto y se visualiza correctamente en el idioma del SE de la cuenta, todos los apartados de la factura separada de cargos varios de conceptos de gas</t>
  </si>
  <si>
    <t>DazelMessage_233568330.xml FS25137001062912 CASTELLANO
DazelMessage_233568291.xml FS25137001062912 CATALAN
DazelMessage_233568306.xml FS25137001062912 EUSKERA
DazelMessage_233568317.xml FS25137001062912 GALLEGO</t>
  </si>
  <si>
    <t>DazelMessage_233568330.afp FS25137001062912 CASTELLANO
DazelMessage_233568291.afp FS25137001062912 CATALAN
DazelMessage_233568306.afp FS25137001062912 EUSKERA
DazelMessage_233568317.afp FS25137001062912 GALLEGO</t>
  </si>
  <si>
    <t>FAC_039</t>
  </si>
  <si>
    <t xml:space="preserve">Factura Separada de cargos varios de conceptos de gas Cualquier tarifa ATR (RL.1-RL.11) y producto de gas (TUR1, TUR2, TUR3, Transitorio o TUR CCPP) Factura separada de cargos varios de conceptos de gas
Idioma: CA, ES, EU, GA
No domiciliada </t>
  </si>
  <si>
    <t>Factura separada de cargos varios de conceptos de gas
Cualquier Tarifa de acceso de gas RL.1-RL.11
Formularios: F364</t>
  </si>
  <si>
    <t>DazelMessage_233568330.xml FS25137001092735 CASTELLANO
DazelMessage_233568291.xml FS25137001092735 CATALAN
DazelMessage_233568306.xml FS25137001092735 EUSKERA
DazelMessage_233568317.xml FS25137001092735 GALLEGO</t>
  </si>
  <si>
    <t>DazelMessage_233568330.afp FS25137001092735 CASTELLANO
DazelMessage_233568291.afp FS25137001092735 CATALAN
DazelMessage_233568306.afp FS25137001092735 EUSKERA
DazelMessage_233568317.afp FS25137001092735 GALLEGO</t>
  </si>
  <si>
    <t>FAC_040</t>
  </si>
  <si>
    <t xml:space="preserve">Factura Separada de cargos varios de conceptos exentos de gas Cualquier tarifa ATR (RL.1-RL.11) y producto de gas (TUR1, TUR2, TUR3, Transitorio o TUR CCPP) Factura separada de cargos varios de conceptos exentos de gas
Idioma: CA, ES, EU, GA
Domiciliada </t>
  </si>
  <si>
    <t>Factura separada de cargos varios de conceptos exentos de gas
Cualquier Tarifa de acceso de gas RL.1-RL.11
Formularios: F363</t>
  </si>
  <si>
    <t>DazelMessage_233568330.xml FS25137001067760 CASTELLANO
DazelMessage_233568291.xml FS25137001067760 CATALAN
DazelMessage_233568306.xml FS25137001067760 EUSKERA
DazelMessage_233568317.xml FS25137001067760 GALLEGO</t>
  </si>
  <si>
    <t>DazelMessage_233568330.afp FS25137001067760 CASTELLANO
DazelMessage_233568291.afp FS25137001067760 CATALAN
DazelMessage_233568306.afp FS25137001067760 EUSKERA
DazelMessage_233568317.afp FS25137001067760 GALLEGO</t>
  </si>
  <si>
    <t>FAC_041</t>
  </si>
  <si>
    <t xml:space="preserve">Factura Separada de cargos varios de fraudes de gas Cualquier tarifa ATR (RL.1-RL.11) y producto de gas (TUR1, TUR2, TUR3, Transitorio o TUR CCPP) Factura separada de cargos varios de fraudes de gas
Idioma: CA, ES, EU, GA
Domiciliada </t>
  </si>
  <si>
    <t>Factura separada de cargos varios de fraudes de gas
Cualquier Tarifa de acceso de gas RL.1-RL.11
Formularios: F363</t>
  </si>
  <si>
    <t>1. El CV se da de alta correctamente.
2. Se comprueba que el CV se ha creado correctamente.
3. Se comprueba que la factura separada de cargos varios se genera correctamente
4. La factura se recupera correctamente.
5. Se accede al detalle de la factura.
6. Se comprueba que el documento de impresión es correcto y se visualiza correctamente en el idioma del SE de la cuenta, todos los apartados de la factura separada de cargos varios de fraudes de gas</t>
  </si>
  <si>
    <t>DazelMessage_233568330.xml FS25137001067754 CASTELLANO
DazelMessage_233568291.xml FS25137001067754 CATALAN
DazelMessage_233568306.xml FS25137001067754 EUSKERA
DazelMessage_233568317.xml FS25137001067754 GALLEGO</t>
  </si>
  <si>
    <t>DazelMessage_233568330.afp FS25137001067754 CASTELLANO
DazelMessage_233568291.afp FS25137001067754 CATALAN
DazelMessage_233568306.afp FS25137001067754 EUSKERA
DazelMessage_233568317.afp FS25137001067754 GALLEGO</t>
  </si>
  <si>
    <t>FAC_042</t>
  </si>
  <si>
    <t xml:space="preserve">Factura Separada de cargos varios de fraudes de gas Cualquier tarifa ATR (RL.1-RL.11) y producto de gas (TUR1, TUR2, TUR3, Transitorio o TUR CCPP) Factura separada de cargos varios de fraudes de gas
Idioma: CA, ES, EU, GA
No domiciliada </t>
  </si>
  <si>
    <t>Factura separa de cargos varios de fraudes de gas
Cualquier Tarifa de acceso de gas RL.1-RL.11
Formularios: F364</t>
  </si>
  <si>
    <t>DazelMessage_233568330.xml FS25137001124865 CASTELLANO
DazelMessage_233568291.xml FS25137001124865 CATALAN
DazelMessage_233568306.xml FS25137001124865 EUSKERA
DazelMessage_233568317.xml FS25137001124865 GALLEGO</t>
  </si>
  <si>
    <t>DazelMessage_233568330.afp FS25137001124865 CASTELLANO
DazelMessage_233568291.afp FS25137001124865 CATALAN
DazelMessage_233568306.afp FS25137001124865 EUSKERA
DazelMessage_233568317.afp FS25137001124865 GALLEGO</t>
  </si>
  <si>
    <t>FAC_043</t>
  </si>
  <si>
    <t xml:space="preserve">Factura Separada de cargos varios de cuidas (servicios) de gas Cualquier tarifa ATR (RL.1-RL.11) y producto de gas (TUR1, TUR2, TUR3, Transitorio o TUR CCPP) Factura separada de cargos varios de cuidas de gas
Idioma: CA, ES, EU, GA
Domiciliada </t>
  </si>
  <si>
    <t>Factura separa de cargos varios de cuidas (servicios) de gas (conceptos de CV de cuidas y de descuentos de cuidas)
Cualquier Tarifa de acceso de gas RL.1-RL.11
Formularios: F369</t>
  </si>
  <si>
    <t>1. Se genera la factura separada de cargos varios de cuidas (servicios) y descuentos de cuidas de gas al generarse su factura de suministro asociada.
2. Se accede a la pantalla de Gestión de Facturas separadas de Cargos Varios, a través de Menú &gt; Facturación &gt; Proceso de Emisión, se introduce la factura de los datos de prueba y se pulsa Buscar.
6. Se pulsa sobre el hiperlink Nº Factura.
7. Se accede a la solapa Ver Doc. Impresión</t>
  </si>
  <si>
    <t>1. Se comprueba que la factura separada de cargos varios de cuidas (servicios) de gas se genera correctamente
4. La factura se recupera correctamente.
5. Se accede al detalle de la factura.
6. Se comprueba que el documento de impresión es correcto y se visualiza correctamente en el idioma del SE de la cuenta, todos los apartados de la factura separada de cargos varios de cuidas de gas</t>
  </si>
  <si>
    <t>DazelMessage_233568331.xml FS25137001061904 CASTELLANO
DazelMessage_233568293.xml FS25137001061904 CATALAN
DazelMessage_233568305.xml FS25137001061904 EUSKERA
DazelMessage_233568318.xml FS25137001061904 GALLEGO</t>
  </si>
  <si>
    <t>DazelMessage_233568331.afp FS25137001061904 CASTELLANO
DazelMessage_233568293.afp FS25137001061904 CATALAN
DazelMessage_233568305.afp FS25137001061904 EUSKERA
DazelMessage_233568318.afp FS25137001061904 GALLEGO</t>
  </si>
  <si>
    <t>FAC_044</t>
  </si>
  <si>
    <t xml:space="preserve">Factura Separada de cargos varios de cuidas (servicios) de gas Cualquier tarifa ATR (RL.1-RL.11) y producto de gas (TUR1, TUR2, TUR3, Transitorio o TUR CCPP) Factura separada de cargos varios de cuidas de gas
Idioma: CA, ES, EU, GA
No domiciliada </t>
  </si>
  <si>
    <t>Factura separa de cargos varios de cuidas (servicios) de gas (conceptos de CV de cuidas y de descuentos de cuidas)
Cualquier Tarifa de acceso de gas RL.1-RL.11
Formularios: F370</t>
  </si>
  <si>
    <t>DazelMessage_233568333.xml FS23137000056630 CASTELLANO
DazelMessage_233568296.xml FS23137000056630 CATALAN
DazelMessage_233568308.xml FS23137000056630 EUSKERA
DazelMessage_233568320.xml FS23137000056630 GALLEGO</t>
  </si>
  <si>
    <t>DazelMessage_233568333.afp FS23137000056630 CASTELLANO
DazelMessage_233568296.afp FS23137000056630 CATALAN
DazelMessage_233568308.afp FS23137000056630 EUSKERA
DazelMessage_233568320.afp FS23137000056630 GALLEGO</t>
  </si>
  <si>
    <t>FAC_045</t>
  </si>
  <si>
    <t xml:space="preserve">Pruebas Impresión de encartes de publicidad, Cualquier tarifa ATR (RL.1-RL.11) y cualquier producto de gas (TUR1, TUR2, TUR3, Transitorio o TUR CCPP) Facturas de energía de gas o facturas separadas de cargos varios
Idioma: CA, ES, EU, GA
Domiciliada </t>
  </si>
  <si>
    <t>Pruebas de impresión de encartes de facturas de energía de gas o facturas separadas de cargos varios de gas (conceptos, fraudes, cuidas gas)
Cualquier Tarifa de acceso de gas RL.1-RL.11
Cualquier de Tarifa comercial de gas TUR1, TUR2, TUR3, Transitoria o TUR CCPP
Formularios: F351, F353, F365,  F367, F363, F369</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</si>
  <si>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en el idioma del SE de la cuenta correctamente todos los apartados de la factura de energía de gas o de la factura separada de cargos varios de gas</t>
  </si>
  <si>
    <t xml:space="preserve"> No aplica. Las pruebas de encartes de publicidad se deben realizar por parte de MULESOFT, SERVINFORM. No se generan desde Delta. </t>
  </si>
  <si>
    <t xml:space="preserve">No aplica. Las pruebas de encartes de publicidad se deben realizar por parte de MULESOFT, SERVINFORM. No se generan desde Delta. </t>
  </si>
  <si>
    <t>FAC_046</t>
  </si>
  <si>
    <r>
      <t xml:space="preserve">Pruebas Impresión de cuadro de comercializadoras de gas, Cualquier tarifa ATR (RL.1-RL.11) y cualquier producto de gas (TUR1, TUR2, TUR3, Transitorio o TUR CCPP) Facturas de energía de gas o facturas separadas de cargos varios, tipo de modo de envío </t>
    </r>
    <r>
      <rPr>
        <sz val="11"/>
        <color rgb="FF000000"/>
        <rFont val="Aptos Narrow"/>
        <family val="2"/>
      </rPr>
      <t>≠</t>
    </r>
    <r>
      <rPr>
        <sz val="11"/>
        <color rgb="FF000000"/>
        <rFont val="Calibri"/>
        <family val="2"/>
      </rPr>
      <t xml:space="preserve"> FOL (factura on-line) se genera en el postproceso.
Idioma: CA, ES, EU, GA
Domiciliada </t>
    </r>
  </si>
  <si>
    <r>
      <t xml:space="preserve">Pruebas de impresión de cuadro de comercializadoras de gas de facturas de energía de gas o facturas separadas de cargos varios de gas (conceptos, fraudes, cuidas gas)
Cualquier Tarifa de acceso de gas RL.1-RL.11
Cualquier de Tarifa comercial de gas TUR1, TUR2, TUR3, Transitoria o TUR CCPP
Formularios: F351, F353, F365,  F367, F363, F369
Tipo de modo de envío </t>
    </r>
    <r>
      <rPr>
        <sz val="11"/>
        <color rgb="FF000000"/>
        <rFont val="Aptos Narrow"/>
        <family val="2"/>
      </rPr>
      <t>≠</t>
    </r>
    <r>
      <rPr>
        <sz val="11"/>
        <color rgb="FF000000"/>
        <rFont val="Calibri"/>
        <family val="2"/>
      </rPr>
      <t xml:space="preserve"> FOL (Factura on-line)</t>
    </r>
  </si>
  <si>
    <t>FAC_047</t>
  </si>
  <si>
    <t>Pruebas Impresión de Agrupadores gas Cualquier tarifa ATR de gas (RL.1-RL.11) y producto de gas (TUR1, TUR2, TUR3, Transitorio o TUR CCPP) Facturas de energía de gas o facturas separadas de cargos varios de gas
Idioma: CA, ES, EU, GA
Domiciliada o No Domiciliada</t>
  </si>
  <si>
    <t>Pruebas de impresión de agrupadores de facturas de energía de gas o facturas separadas de cargos varios de gas (conceptos, fraudes, cuidas gas)
Cualquier Tarifa de acceso de gas RL-1-RL.11
Cualquier de Tarifa comercial de gas TUR1, TUR2, TUR3, Transitorio o TUR CCPP
Formulario: OOEE</t>
  </si>
  <si>
    <t>1. Se lanza el job de impresión de agrupadores de Smile (D5TFD242P) sólo con la variante de gas</t>
  </si>
  <si>
    <t>1. Se recuperan los datos postales a donde enviar las facturas del agrupador. (Base operativa)
2. Se recupera la carta del agrupador con código de agrupador, dirección postal, nombre agrupador, importe facturado, etc.
3. Se recupera el listado de facturas del agrupador (Relación Valorada RRVV).
4. Se realiza la impresión agrupada de las facturas del agrupador  (Relación Valorada RRVV).</t>
  </si>
  <si>
    <t>DazelMessage_237908257_GAS.xml CASTELLANO
DazelMessage_237908261_GAS.xml CATALAN
DazelMessage_237908262_GAS.xml EUSKERA
DazelMessage_237908263_GAS.xml GALLEGO</t>
  </si>
  <si>
    <t>DazelMessage_237908257_GAS.afp CASTELLANO
DazelMessage_237908261_GAS.afp CATALAN
DazelMessage_237908262_GAS.afp EUSKERA
DazelMessage_237908263_GAS.afp GALLEGO</t>
  </si>
  <si>
    <t>FAC_048</t>
  </si>
  <si>
    <t>Cálculo Emisión Impresión Producto PVPC Tarifa ATR 2.0TD Factura de energía de electricidad
Idioma: CA, ES, EU, GA
Domiciliada</t>
  </si>
  <si>
    <t>Suministro de Electricidad
Tarifa de acceso 2.0TD
Tarifa comercial PVPC
ATR con o sin curva diaria
Formulario: F301</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</si>
  <si>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en el idioma del SE de la cuenta correctamente todos los apartados de la factura de energía de electricidad</t>
  </si>
  <si>
    <t>Electricidad</t>
  </si>
  <si>
    <t>DazelMessage_233608252.xml FE25137021620940 CASTELLANO
DazelMessage_233608259.xml FE25137021620940 CATALAN
DazelMessage_233608266.xml FE25137021620940 EUSKERA
DazelMessage_233628252.xml FE25137021620940 GALLEGO</t>
  </si>
  <si>
    <t>DazelMessage_233608252.afp FE25137021620940 CASTELLANO
DazelMessage_233608259.afp FE25137021620940 CATALAN
DazelMessage_233608266.afp FE25137021620940 EUSKERA
DazelMessage_233628252.afp FE25137021620940 GALLEGO</t>
  </si>
  <si>
    <t>FAC_049</t>
  </si>
  <si>
    <t>Cálculo Emisión Impresión Producto PVPC Tarifa ATR 2.0TD Factura de energía de electricidad
Idioma: CA, ES, EU, GA
No domiciliada (con código de barras)</t>
  </si>
  <si>
    <t>Suministro de Electricidad
Tarifa de acceso 2.0TD
Tarifa comercial PVPC
ATR con o sin curva diaria
Formulario: F302</t>
  </si>
  <si>
    <t>DazelMessage_233608252.xml FE25137021627637 CASTELLANO
DazelMessage_233608259.xml FE25137021627637 CATALAN
DazelMessage_233608266.xml FE25137021627637 EUSKERA
DazelMessage_233628252.xml FE25137021627637 GALLEGO</t>
  </si>
  <si>
    <t>DazelMessage_233608252.afp FE25137021627637 CASTELLANO
DazelMessage_233608259.afp FE25137021627637 CATALAN
DazelMessage_233608266.afp FE25137021627637 EUSKERA
DazelMessage_233628252.afp FE25137021627637 GALLEGO</t>
  </si>
  <si>
    <t>FAC_050</t>
  </si>
  <si>
    <t>Cálculo Emisión Impresión Producto Bono Social Tarifa ATR 2.0TD Factura de energía de electricidad
Idioma: CA, ES, EU, GA
Domiciliada</t>
  </si>
  <si>
    <t>Suministro de Electricidad
Tarifa de acceso 2.0TD
Tarifa comercial Bono Social
ATR con o sin curva diaria
Formulario: F303
Bono Social: Vulnerable, Vulnerable severo y exclusión social y también la Tarifa ya no existente Justicia Energética.</t>
  </si>
  <si>
    <t>DazelMessage_233608255.xml FE25137021622279 BS VULNERABLE SEVERO CASTELLANO
DazelMessage_233608262.xml FE25137021622279 BS VULNERABLE SEVERO CATALAN
DazelMessage_233608269.xml FE25137021622279 BS VULNERABLE SEVERO EUSKERA
DazelMessage_233628254.xml FE25137021622279 BS VULNERABLE SEVERO GALLEGO
DazelMessage_233608255.xml FE25137021600821 BS VULNERABLE CASTELLANO
DazelMessage_233608262.afp FE25137021600821 BS VULNERABLE CATALAN
DazelMessage_233608269.xml FE25137021600821 BS VULNERABLE EUSKERA
DazelMessage_233628254.xml FE25137021600821 BS VULNERABLE GALLEGO
DazelMessage_233608255.xml RE25137000104010 BS VULNERABLE RIESGO EXCLUSION SOCIAL CASTELLLANO
DazelMessage_233608262.xml RE25137000104010 BS VULNERABLE RIESGO EXCLUSION SOCIAL CATALAN
DazelMessage_233608269.xml RE25137000104010 BS VULNERABLE RIESGO EXCLUSION SOCIAL EUSKERA
DazelMessage_233628254.xml RE25137000104010 BS VULNERABLE RIESGO EXCLUSION SOCIAL GALLEGO
DazelMessage_233668255_ele.xml FE24137000981726 BS VULNERABLE JUSTICIA ENERGETICA CASTELLANO
DazelMessage_233668263_ele.xml FE24137000981726 BS VULNERABLE JUSTICIA ENERGETICA CATALAN
DazelMessage_233668269_ele.xml FE24137000981726 BS VULNERABLE JUSTICIA ENERGETICA EUSKERA
DazelMessage_233668278_ele.xml FE24137000981726 BS VULNERABLE JUSTICIA ENERGETICA GALLEGO</t>
  </si>
  <si>
    <t xml:space="preserve">DazelMessage_233608255.afp FE25137021622279 BS VULNERABLE SEVERO CASTELLANO
DazelMessage_233608262.afp FE25137021622279 BS VULNERABLE SEVERO CATALAN
DazelMessage_233608269.afp FE25137021622279 BS VULNERABLE SEVERO EUSKERA
DazelMessage_233628254.afp FE25137021622279 BS VULNERABLE SEVERO GALLEGO
DazelMessage_233608255.afp FE25137021600821 BS VULNERABLE CASTELLANO
DazelMessage_233608262.afp FE25137021600821 BS VULNERABLE CATALAN
DazelMessage_233608269.afp FE25137021600821 BS VULNERABLE EUSKERA
DazelMessage_233628254.afp FE25137021600821 BS VULNERABLE GALLEGO
DazelMessage_233608255.afp RE25137000104010 BS VULNERABLE RIESGO EXCLUSION SOCIAL CASTELLLANO
DazelMessage_233608262.afp RE25137000104010 BS VULNERABLE RIESGO EXCLUSION SOCIAL CATALAN
DazelMessage_233608269.afp RE25137000104010 BS VULNERABLE RIESGO EXCLUSION SOCIAL EUSKERA
DazelMessage_233628254.afp RE25137000104010 BS VULNERABLE RIESGO EXCLUSION SOCIAL GALLEGO
DazelMessage_233668255_ele.afp FE24137000981726 BS VULNERABLE JUSTICIA ENERGETICA CASTELLANO
DazelMessage_233668263_ele.afp FE24137000981726 BS VULNERABLE JUSTICIA ENERGETICA CATALAN
DazelMessage_233668269_ele.afp FE24137000981726 BS VULNERABLE JUSTICIA ENERGETICA EUSKERA
DazelMessage_233668278_ele.afp FE24137000981726 BS VULNERABLE JUSTICIA ENERGETICA GALLEGO
</t>
  </si>
  <si>
    <t>FAC_051</t>
  </si>
  <si>
    <t>Cálculo Emisión Impresión Producto Bono Social Tarifa ATR 2.0TD Factura de energía de electricidad
Idioma: CA, ES, EU, GA
No domiciliada (con código de barras)</t>
  </si>
  <si>
    <t>Suministro de Electricidad
Tarifa de acceso 2.0TD
Tarifa comercial Bono Social
ATR con o sin curva diaria
Formulario: F304
Bono Social: Vulnerable, Vulnerable severo y exclusión social y también la Tarifa ya no existente Justicia Energética.</t>
  </si>
  <si>
    <t>DazelMessage_233608255.xml FE25137021602997 CASTELLANO
DazelMessage_233608262.xml FE25137021602997 CATALAN
DazelMessage_233608269.xml FE25137021602997 EUSKERA
DazelMessage_233628254.xml FE25137021602997 GALLEGO</t>
  </si>
  <si>
    <t>DazelMessage_233608255.afp FE25137021602997 CASTELLANO
DazelMessage_233608262.afp FE25137021602997 CATALAN
DazelMessage_233608269.afp FE25137021602997 EUSKERA
DazelMessage_233628254.afp FE25137021602997 GALLEGO</t>
  </si>
  <si>
    <t>FAC_052</t>
  </si>
  <si>
    <t>Cálculo Emisión Impresión Producto Precio Fijo Tarifa ATR 2.0TD Factura de energía de electricidad
Idioma: CA, ES, EU, GA
Domiciliada</t>
  </si>
  <si>
    <t>Suministro de Electricidad
Tarifa de acceso 2.0TD
Tarifa comercial Precio Fijo
ATR con o sin curva diaria
Formulario: F307</t>
  </si>
  <si>
    <t>DazelMessage_233608258.xml FE22137006973763 CASTELLANO
DazelMessage_233608265.xml FE22137006973763 CATALAN
DazelMessage_233608272.xml FE22137006973763 EUSKERA
DazelMessage_233628258.xml FE22137006973763 GALLEGO</t>
  </si>
  <si>
    <t>DazelMessage_233608258.afp FE22137006973763 CASTELLANO
DazelMessage_233608265.afp FE22137006973763 CATALAN
DazelMessage_233608272.afp FE22137006973763 EUSKERA
DazelMessage_233628258.afp FE22137006973763 GALLEGO</t>
  </si>
  <si>
    <t>FAC_053</t>
  </si>
  <si>
    <t>Cálculo Emisión Impresión Producto Precio Fijo Tarifa ATR 2.0TD Factura de energía de electricidad
Idioma: CA, ES, EU, GA
No domiciliada (con código de barras)</t>
  </si>
  <si>
    <t>Suministro de Electricidad
Tarifa de acceso 2.0TD
Tarifa comercial Precio Fijo
ATR con o sin curva diaria
Formulario: F308</t>
  </si>
  <si>
    <t>DazelMessage_233608258.xml FE22137002315701 CASTELLANO
DazelMessage_233608265.xml FE22137002315701 CATALAN
DazelMessage_233608272.xml FE22137002315701 EUSKERA
DazelMessage_233628258.xml FE22137002315701 GALLEGO</t>
  </si>
  <si>
    <t>DazelMessage_233608258.afp FE22137002315701 CASTELLANO
DazelMessage_233608265.afp FE22137002315701 CATALAN
DazelMessage_233608272.afp FE22137002315701 EUSKERA
DazelMessage_233628258.afp FE22137002315701 GALLEGO</t>
  </si>
  <si>
    <t>FAC_054</t>
  </si>
  <si>
    <t>Cálculo Emisión Impresión Producto Transitorio Tarifa ATR 3.0TD Factura de energía de electricidad
Idioma: CA, ES, EU, GA
Domiciliada</t>
  </si>
  <si>
    <t>Suministro de Electricidad
Tarifa de acceso 3.0TD
Tarifa comercial Transitoria
ATR con o sin curva diaria
Formulario: F305</t>
  </si>
  <si>
    <t>DazelMessage_233608253.xml FE24137001502959 CASTELLANO
DazelMessage_233608261.xml FE24137001502959 CATALAN
DazelMessage_233608268.xml FE24137001502959 EUSKERA
DazelMessage_233628255.xml FE24137001502959 GALLEGO</t>
  </si>
  <si>
    <t>DazelMessage_233608253.afp FE24137001502959 CASTELLANO
DazelMessage_233608261.afp FE24137001502959 CATALAN
DazelMessage_233608268.afp FE24137001502959 EUSKERA
DazelMessage_233628255.afp FE24137001502959 GALLEGO</t>
  </si>
  <si>
    <t>FAC_055</t>
  </si>
  <si>
    <t>Cálculo Emisión Impresión Producto Transitorio Tarifa ATR 3.0TD Factura de energía de electricidad
Idioma: CA, ES, EU, GA
No domiciliada (con código de barras)</t>
  </si>
  <si>
    <t>Suministro de Electricidad
Tarifa de acceso 3.0TD
Tarifa comercial Transitoria
ATR con o sin curva diaria
Formulario: F306</t>
  </si>
  <si>
    <t>DazelMessage_233608253.xml FE25137021684895 CASTELLANO
DazelMessage_233608261.xml FE25137021684895 CATALAN
DazelMessage_233608268.xml FE25137021684895 EUSKERA
DazelMessage_233628255.xml FE25137021684895 GALLEGO</t>
  </si>
  <si>
    <t>DazelMessage_233608253.afp FE25137021684895 CASTELLANO
DazelMessage_233608261.afp FE25137021684895 CATALAN
DazelMessage_233608268.afp FE25137021684895 EUSKERA
DazelMessage_233628255.afp FE25137021684895 GALLEGO</t>
  </si>
  <si>
    <t>FAC_056</t>
  </si>
  <si>
    <t>Cálculo Emisión Impresión Producto Transitorio Tarifa ATR 6.1TD o 6.2TD o 6.3TD o 6.4TD Factura de energía de electricidad
Idioma: CA, ES, EU, GA
Domiciliada</t>
  </si>
  <si>
    <t>Suministro de Electricidad
Tarifa de acceso 6.1TD o 6.2TD o 6.3TD o 6.4TD
Tarifa comercial Transitoria
ATR con o sin curva diaria
Formulario: F305</t>
  </si>
  <si>
    <t>DazelMessage_233608253.xml FE25137019293491 CASTELLANO
DazelMessage_233608261.xml FE25137019293491 CATALAN
DazelMessage_233608268.xml FE25137019293491 EUSKERA
DazelMessage_233628255.xml FE25137019293491 GALLLEGO</t>
  </si>
  <si>
    <t>DazelMessage_233608253.afp FE25137019293491 CASTELLANO
DazelMessage_233608261.afp FE25137019293491 CATALAN
DazelMessage_233608268.afp FE25137019293491 EUSKERA
DazelMessage_233628255.afp FE25137019293491 GALLLEGO</t>
  </si>
  <si>
    <t>FAC_057</t>
  </si>
  <si>
    <t>Cálculo Emisión Impresión Producto Transitorio Tarifa ATR 6.1TD o 6.2TD o 6.3TD o 6.4TD Factura de energía de electricidad
Idioma: CA, ES, EU, GA
No domiciliada</t>
  </si>
  <si>
    <t>Suministro de Electricidad
Tarifa de acceso 6.1TD o 6.2TD o 6.3TD o 6.4TD
Tarifa comercial Transitoria
ATR con o sin curva diaria
Formulario: F306</t>
  </si>
  <si>
    <t>DazelMessage_233608253.xml FE25137019293462 CASTELLANO
DazelMessage_233608261.xml FE25137019293462 CATALAN
DazelMessage_233608268.xml FE25137019293462 EUSKERA
DazelMessage_233628255.xml FE25137019293462 GALLEGO</t>
  </si>
  <si>
    <t>DazelMessage_233608253.afp FE25137019293462 CASTELLANO
DazelMessage_233608261.afp FE25137019293462 CATALAN
DazelMessage_233608268.afp FE25137019293462 EUSKERA
DazelMessage_233628255.afp FE25137019293462 GALLEGO</t>
  </si>
  <si>
    <t>FAC_058</t>
  </si>
  <si>
    <t xml:space="preserve">Cálculo de abono Factura de anulación Impresión Producto PVPC o Bono Social o Precio Fijo Tarifa ATR 2.0TD  Factura de energía de electricidad
Idioma: CA, ES, EU, GA
Domiciliada </t>
  </si>
  <si>
    <t>Suministro de Electricidad
Tarifa de acceso 2.0TD
Tarifa comercial PVPC o Bono Social o Precio Fijo
ATR con o sin curva diaria
Formularios: F301, F303 o F307</t>
  </si>
  <si>
    <t>DazelMessage_233608254.xml SU25137000176389 CASTELLANO
DazelMessage_233608263.xml SU25137000176389 CATALAN
DazelMessage_233608270.xml SU25137000176389 EUSKERA
DazelMessage_233628256.xml SU25137000176389 GALLEGO</t>
  </si>
  <si>
    <t>DazelMessage_233608254.afp SU25137000176389 CASTELLANO
DazelMessage_233608263.afp SU25137000176389 CATALAN
DazelMessage_233608270.afp SU25137000176389 EUSKERA
DazelMessage_233628256.afp SU25137000176389 GALLEGO</t>
  </si>
  <si>
    <t>FAC_059</t>
  </si>
  <si>
    <t xml:space="preserve">Recálculo Refacturación Impresión Producto PVPC o Bono Social o Precio Fijo Tarifa ATR 2.0TD  Factura de energía de electricidad
Idioma: CA, ES, EU, GA
Domiciliada </t>
  </si>
  <si>
    <t>DazelMessage_233608255.xml RE25137000103697 CASTELLANO
DazelMessage_233608262.xml RE25137000103697 CATALAN
DazelMessage_233608269.xml RE25137000103697 EUSKERA
DazelMessage_233628254.xml RE25137000103697 GALLEGO</t>
  </si>
  <si>
    <t>DazelMessage_233608255.afp RE25137000103697 CASTELLANO
DazelMessage_233608262.afp RE25137000103697 CATALAN
DazelMessage_233608269.afp RE25137000103697 EUSKERA
DazelMessage_233628254.afp RE25137000103697 GALLEGO</t>
  </si>
  <si>
    <t>FAC_060</t>
  </si>
  <si>
    <t xml:space="preserve">Cálculo de Ajuste Factura de ajuste Impresión Producto PVPC o Bono Social o Precio Fijo Tarifa ATR 2.0TD  Factura de energía de electricidad
Idioma: CA, ES, EU, GA
Domiciliada </t>
  </si>
  <si>
    <t>DazelMessage_233608254.xml AE25137000350983 CASTELLANO
DazelMessage_233608263.xml AE25137000350983 CATALAN
DazelMessage_233608270.xml AE25137000350983 EUSKERA
DazelMessage_233628256.xml AE25137000350983 GALLEGO</t>
  </si>
  <si>
    <t>DazelMessage_233608254.afp AE25137000350983 CASTELLANO
DazelMessage_233608263.afp AE25137000350983 CATALAN
DazelMessage_233608270.afp AE25137000350983 EUSKERA
DazelMessage_233628256.afp AE25137000350983 GALLEGO</t>
  </si>
  <si>
    <t>FAC_061</t>
  </si>
  <si>
    <t xml:space="preserve">Cálculo Factura  Impresión Producto PVPC o Bono Social o Precio Fijo Tarifa ATR 2.0TD  Factura de energía de electricidad con cambio de precios
Idioma: CA, ES, EU, GA
Domiciliada </t>
  </si>
  <si>
    <t>Suministro de Electricidad con Cambio de precios
Tarifa de acceso 2.0TD
Tarifa comercial PVPC o Bono Social o Precio Fijo
ATR con o sin curva diaria
Formularios: F301, F303 o F307</t>
  </si>
  <si>
    <t>DazelMessage_233608252.xml FE25137002318374 CASTELLANO
DazelMessage_233608259.xml FE25137002318374 CATALAN
DazelMessage_233608266.xml FE25137002318374 EUSKERA
DazelMessage_233628252.xml FE25137002318374  GALLEGO</t>
  </si>
  <si>
    <t>DazelMessage_233608252.afp FE25137002318374 CASTELLANO
DazelMessage_233608259.afp FE25137002318374 CATALAN
DazelMessage_233608266.afp FE25137002318374 EUSKERA
DazelMessage_233628252.afp FE25137002318374  GALLEGO</t>
  </si>
  <si>
    <t>FAC_062</t>
  </si>
  <si>
    <t xml:space="preserve">Cálculo Factura  Impresión  Producto PVPC o Bono Social o Precio Fijo Tarifa ATR 2.0TD  Factura de energía de electricidad con Cortes y Reenganches (CyR)
Idioma: CA, ES, EU, GA
Domiciliada </t>
  </si>
  <si>
    <t>Suministro de Electricidad con Cortes y Reenganches (CyR)
Tarifa de acceso 2.0TD
Tarifa comercial PVPC o Bono Social o Precio Fijo
ATR con o sin curva diaria
Formularios: F301, F303 o F307</t>
  </si>
  <si>
    <t>DazelMessage_233648258.xml FE22137005535431 CASTELLANO
DazelMessage_233648261.xml FE22137005535431 CATALAN
DazelMessage_233648266.xml FE22137005535431 EUSKERA
DazelMessage_233648275.xml FE22137005535431 GALLEGO</t>
  </si>
  <si>
    <t>DazelMessage_233648258.afp FE22137005535431 CASTELLANO
DazelMessage_233648261.afp FE22137005535431 CATALAN
DazelMessage_233648266.afp FE22137005535431 EUSKERA
DazelMessage_233648275.afp FE22137005535431 GALLEGO</t>
  </si>
  <si>
    <t>FAC_063</t>
  </si>
  <si>
    <t xml:space="preserve">Cálculo Factura  Impresión Producto PVPC o Bono Social o Precio Fijo Tarifa ATR 2.0TD  Factura de energía de electricidad con Cambio de aparato en el mismo periodo de cálculo
Idioma: CA, ES, EU, GA
Domiciliada </t>
  </si>
  <si>
    <t>Suministro de Electricidad con Cambio de aparato en el mismo periodo de cálculo
Tarifa de acceso 2.0TD
Tarifa comercial PVPC o Bono Social o Precio Fijo
ATR con o sin curva diaria
Formularios: F301, F303 o F307</t>
  </si>
  <si>
    <t>FAC_064</t>
  </si>
  <si>
    <t xml:space="preserve">Cálculo Factura  Impresión Producto PVPC o Bono Social o Precio Fijo Tarifa ATR 2.0TD  Factura de energía de electricidad con modo de envío Factura-e
Idioma: CA, ES, EU, GA
Domiciliada </t>
  </si>
  <si>
    <t>Suministro de Electricidad con modo de envío Factura-e
Tarifa de acceso 2.0TD
Tarifa comercial PVPC o Bono Social o Precio Fijo
ATR con o sin curva diaria
Formularios: F301, F303 o F307</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</si>
  <si>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de cortesía de Factura-e, en el idioma del SE de la cuenta correctamente todos los apartados de la factura de energía de electricidad
8. Se comprueba el XML de facturación electrónica (Factura-e):</t>
  </si>
  <si>
    <t>DazelMessage_233608256.xml FE25137021676014 CASTELLANO
DazelMessage_233608264.xml FE25137021676014 CATALAN
DazelMessage_233608271.xml FE25137021676014 EUSKERA
DazelMessage_233628257.xml FE25137021676014 GALLEGO</t>
  </si>
  <si>
    <t>DazelMessage_233608256.afp FE25137021676014 CASTELLANO
DazelMessage_233608264.afp FE25137021676014 CATALAN
DazelMessage_233608271.afp FE25137021676014 EUSKERA
DazelMessage_233628257.afp FE25137021676014 GALLEGO</t>
  </si>
  <si>
    <t>FAC_065</t>
  </si>
  <si>
    <t xml:space="preserve">Cálculo Factura  Impresión Producto PVPC o Bono Social o Precio Fijo Tarifa ATR 2.0TD  Factura de energía de electricidad con Regularización de consumos estimados de GNSUR
Idioma: CA, ES, EU, GA
Domiciliada </t>
  </si>
  <si>
    <t>Suministro de Electricidad con Regularización de consumos estimados de GNSUR
Tarifa de acceso 2.0TD
Tarifa comercial PVPC o Bono Social o Precio Fijo
ATR con o sin curva diaria
Formularios: F301, F303 o F307</t>
  </si>
  <si>
    <t>DazelMessage_233608252.xml FE25137021629139 CASTELLANO
DazelMessage_233608259.xml FE25137021629139 CATALAN
DazelMessage_233608266.xml FE25137021629139 EUSKERA
DazelMessage_233628252.xml FE25137021629139 GALLLEGO
DazelMessage_233608255.xml RE25137000104009 CASTELLANO
DazelMessage_233608262.xml RE25137000104009 CATALAN
DazelMessage_233608269.xml RE25137000104009 EUSKERA
DazelMessage_233628254.xml RE25137000104009 GALLLEGO</t>
  </si>
  <si>
    <t>DazelMessage_233608252.afp FE25137021629139 CASTELLANO
DazelMessage_233608259.afp FE25137021629139 CATALAN
DazelMessage_233608266.afp FE25137021629139 EUSKERA
DazelMessage_233628252.afp FE25137021629139 GALLLEGO
DazelMessage_233608255.afp RE25137000104009 CASTELLANO
DazelMessage_233608262.afp RE25137000104009 CATALAN
DazelMessage_233608269.afp RE25137000104009 EUSKERA
DazelMessage_233628254.afp RE25137000104009 GALLLEGO</t>
  </si>
  <si>
    <t>FAC_066</t>
  </si>
  <si>
    <t xml:space="preserve">Cálculo de ajuste Factura de ajuste Impresión Producto PVPC o Bono Social o Precio Fijo Tarifa ATR 2.0TD  Factura de energía de electricidad con Regularización de consumos estimados de GNSUR
Idioma: CA, ES, EU, GA
Domiciliada </t>
  </si>
  <si>
    <t>DazelMessage_233608254.xml AE25137000355144 CASTELLANO
DazelMessage_233608263.xml AE25137000355144 CATALAN
DazelMessage_233608270.xml AE25137000355144 EUSKERA
DazelMessage_233628256.xml AE25137000355144 GALLEGO</t>
  </si>
  <si>
    <t>DazelMessage_233608254.afp AE25137000355144 CASTELLANO
DazelMessage_233608263.afp AE25137000355144 CATALAN
DazelMessage_233608270.afp AE25137000355144 EUSKERA
DazelMessage_233628256.afp AE25137000355144 GALLEGO</t>
  </si>
  <si>
    <t>FAC_067</t>
  </si>
  <si>
    <t xml:space="preserve">Cálculo Factura  Impresión Producto PVPC o Bono Social o Precio Fijo Tarifa ATR 2.0TD  Factura de energía de electricidad con código QR dinámico
Idioma: CA, ES, EU, GA
Domiciliada </t>
  </si>
  <si>
    <t>Suministro de Electricidad con código QR dinámico
Tarifa de acceso 2.0TD
Tarifa comercial PVPC o Bono Social o Precio Fijo
ATR con o sin curva diaria
Formularios: F301, F303 o F307</t>
  </si>
  <si>
    <t>DazelMessage_233608252.xml FE25137021620940 CASTELLANO
DazelMessage_233608259.xml FE25137021620940 CATALAN
DazelMessage_233608266.xml FE25137021620940 EUSKERA
DazelMessage_233628252.xml FE25137021620940 GALLEGO
DazelMessage_233608255.xml FE25137021615356 CASTELLANO
DazelMessage_233608262.xml FE25137021615356 CATALAN
DazelMessage_233608269.xml FE25137021615356 EUSKERA
DazelMessage_233628254.xml FE25137021615356 GALLEGO</t>
  </si>
  <si>
    <t>DazelMessage_233608252.afp FE25137021620940 CASTELLANO
DazelMessage_233608259.afp FE25137021620940 CATALAN
DazelMessage_233608266.afp FE25137021620940 EUSKERA
DazelMessage_233628252.afp FE25137021620940 GALLEGO
DazelMessage_233608255.afp FE25137021615356 CASTELLANO
DazelMessage_233608262.afp FE25137021615356 CATALAN
DazelMessage_233608269.afp FE25137021615356 EUSKERA
DazelMessage_233628254.afp FE25137021615356 GALLEGO</t>
  </si>
  <si>
    <t>FAC_068</t>
  </si>
  <si>
    <t xml:space="preserve">Cálculo de abono Factura de anulación Impresión Producto Transitorio Tarifa ATR 3.0TD  Factura de energía de electricidad
Idioma: CA, ES, EU, GA
Domiciliada </t>
  </si>
  <si>
    <t>DazelMessage_233608256.xml SU25137000158382 CASTELLANO
DazelMessage_233608264.xml SU25137000158382 CATALAN
DazelMessage_233608271.xml SU25137000158382 EUSKERA
DazelMessage_233628257.xml SU25137000158382 GALLEGO</t>
  </si>
  <si>
    <t>DazelMessage_233608256.afp SU25137000158382 CASTELLANO
DazelMessage_233608264.afp SU25137000158382 CATALAN
DazelMessage_233608271.afp SU25137000158382 EUSKERA
DazelMessage_233628257.afp SU25137000158382 GALLEGO</t>
  </si>
  <si>
    <t>FAC_069</t>
  </si>
  <si>
    <t xml:space="preserve">Recálculo Refacturación Impresión Producto Transitorio Tarifa ATR 3.0TD  Factura de energía de electricidad
Idioma: CA, ES, EU, GA
Domiciliada </t>
  </si>
  <si>
    <t>DazelMessage_233608256.xml RE25137000093099 CASTELLANO
DazelMessage_233608264.xml RE25137000093099 CATALAN
DazelMessage_233608271.xml RE25137000093099 EUSKERA
DazelMessage_233628257.xml RE25137000093099 GALLEGO</t>
  </si>
  <si>
    <t>DazelMessage_233608256.afp RE25137000093099 CASTELLANO
DazelMessage_233608264.afp RE25137000093099 CATALAN
DazelMessage_233608271.afp RE25137000093099 EUSKERA
DazelMessage_233628257.afp RE25137000093099 GALLEGO</t>
  </si>
  <si>
    <t>FAC_070</t>
  </si>
  <si>
    <t xml:space="preserve">Cálculo Factura  Impresión Producto Transitorio Tarifa ATR 3.0TD  Factura de energía de electricidad con cambio de precios
Idioma: CA, ES, EU, GA
Domiciliada </t>
  </si>
  <si>
    <t>Suministro de Electricidad con cambio de precios
Tarifa de acceso 3.0TD
Tarifa comercial Transitoria
ATR con o sin curva diaria
Formulario: F305</t>
  </si>
  <si>
    <t>DazelMessage_233608253.xml FE22137006981734 CASTELLANO
DazelMessage_233608261.xml FE22137006981734 CATALAN
DazelMessage_233608268.xml FE22137006981734 EUSKERA
DazelMessage_233628255.xml FE22137006981734 GALLEGO</t>
  </si>
  <si>
    <t>DazelMessage_233608253.afp FE22137006981734 CASTELLANO
DazelMessage_233608261.afp FE22137006981734 CATALAN
DazelMessage_233608268.afp FE22137006981734 EUSKERA
DazelMessage_233628255.afp FE22137006981734 GALLEGO</t>
  </si>
  <si>
    <t>FAC_071</t>
  </si>
  <si>
    <t xml:space="preserve">Cálculo Factura  Impresión Producto Transitorio Tarifa ATR 3.0TD  Factura de energía de electricidad con Cortes y Reenganches (CyR)
Idioma: CA, ES, EU, GA
Domiciliada </t>
  </si>
  <si>
    <t>Suministro de Electricidad con Cortes y Reenganches (CyR)
Tarifa de acceso 3.0TD
Tarifa comercial Transitoria
ATR con o sin curva diaria
Formulario: F305</t>
  </si>
  <si>
    <t>DazelMessage_233648252.xml FE24137003413105 CASTELLANO
DazelMessage_233648259.xml FE24137003413105 CATALAN
DazelMessage_233648271.xml FE24137003413105 EUSKERA
DazelMessage_233648274.xml FE24137003413105 GALLEGO</t>
  </si>
  <si>
    <t>DazelMessage_233648252.afp FE24137003413105 CASTELLANO
DazelMessage_233648259.afp FE24137003413105 CATALAN
DazelMessage_233648271.afp FE24137003413105 EUSKERA
DazelMessage_233648274.afp FE24137003413105 GALLEGO</t>
  </si>
  <si>
    <t>FAC_072</t>
  </si>
  <si>
    <t xml:space="preserve">Cálculo Factura  Impresión Producto Transitorio Tarifa ATR 3.0TD  Factura de energía de electricidad con Cambio de aparato en el mismo periodo de cálculo
Idioma: CA, ES, EU, GA
Domiciliada </t>
  </si>
  <si>
    <t>Suministro de Electricidad con Cambio de aparato en el mismo periodo de cálculo
Tarifa de acceso 3.0TD
Tarifa comercial Transitoria
ATR con o sin curva diaria
Formulario: F305</t>
  </si>
  <si>
    <t>FAC_073</t>
  </si>
  <si>
    <t xml:space="preserve">Cálculo Factura  Impresión Producto Transitorio Tarifa ATR 3.0TD  Factura de energía de electricidad con modo de envío Factura-e
Idioma: CA, ES, EU, GA
Domiciliada </t>
  </si>
  <si>
    <t>Suministro de Electricidad con modo de envío Factura-e
Tarifa de acceso 3.0TD
Tarifa comercial Transitoria
ATR con o sin curva diaria
Formulario: F305</t>
  </si>
  <si>
    <t>FAC_074</t>
  </si>
  <si>
    <t xml:space="preserve">Cálculo de abono Factura de anulación Impresión Producto Transitorio Tarifa ATR 6.1TD o 6.2TD o 6.3TD o 6.4TD Factura de energía de electricidad
Idioma: CA, ES, EU, GA
Domiciliada </t>
  </si>
  <si>
    <t>DazelMessage_233648255.xml SU25137000159187 CASTELLANO
DazelMessage_233648260.xml SU25137000159187 CATALAN
DazelMessage_233648270.xml SU25137000159187 EUSKERA
DazelMessage_233648279.xml SU25137000159187 GALLEGO</t>
  </si>
  <si>
    <t>DazelMessage_233648255.afp SU25137000159187 CASTELLANO
DazelMessage_233648260.afp SU25137000159187 CATALAN
DazelMessage_233648270.afp SU25137000159187 EUSKERA
DazelMessage_233648279_ele.afp SU25137000159187 GALLEGO</t>
  </si>
  <si>
    <t>FAC_075</t>
  </si>
  <si>
    <t xml:space="preserve">Recálculo Refacturación Impresión Producto Transitorio Tarifa ATR 6.1TD o 6.2TD o 6.3TD o 6.4TD Factura de energía de electricidad
Idioma: CA, ES, EU, GA
Domiciliada </t>
  </si>
  <si>
    <t>DazelMessage_233648255.xml RE25137000094405 CASTELLANO
DazelMessage_233648260.xml RE25137000094405 CATALAN
DazelMessage_233648270.xml RE25137000094405 EUSKERA
DazelMessage_233648279.xml RE25137000094405 GALLEGO</t>
  </si>
  <si>
    <t>DazelMessage_233648255.afp RE25137000094405 CASTELLANO
DazelMessage_233648260.afp RE25137000094405 CATALAN
DazelMessage_233648270.afp RE25137000094405 EUSKERA
DazelMessage_233648279_ele.afp RE25137000094405 GALLEGO</t>
  </si>
  <si>
    <t>FAC_076</t>
  </si>
  <si>
    <t xml:space="preserve">Cálculo Factura  Impresión Producto Producto Transitorio Tarifa ATR 6.1TD o 6.2TD o 6.3TD o 6.4TD Factura de energía de electricidad con cambio de precios
Idioma: CA, ES, EU, GA
Domiciliada </t>
  </si>
  <si>
    <t>Suministro de Electricidad con cambio de precios
Tarifa de acceso 6.1TD o 6.2TD o 6.3TD o 6.4TD
Tarifa comercial Transitoria
ATR con o sin curva diaria
Formulario: F305</t>
  </si>
  <si>
    <t xml:space="preserve">No Aplica. No hay casos en sistema de cambio de precios de tarifas 6.*TD. </t>
  </si>
  <si>
    <t>FAC_077</t>
  </si>
  <si>
    <t xml:space="preserve">Cálculo Factura  Impresión Producto Producto Transitorio Tarifa ATR 6.1TD o 6.2TD o 6.3TD o 6.4TD Factura de energía de electricidad con Cortes y Reenganches (CyR)
Idioma: CA, ES, EU, GA
Domiciliada </t>
  </si>
  <si>
    <t>Suministro de Electricidad con cambio de precios con Cortes y Reenganches (CyR)
Tarifa de acceso 6.1TD o 6.2TD o 6.3TD o 6.4TD
Tarifa comercial Transitoria
ATR con o sin curva diaria
Formulario: F305</t>
  </si>
  <si>
    <t>DazelMessage_233648252.xml FE24137005715986 CASTELLANO
DazelMessage_233648259.xml FE24137005715986 CATALAN
DazelMessage_233648271.xml FE24137005715986 EUSKERA
DazelMessage_233648274.xml FE24137005715986 GALLEGO</t>
  </si>
  <si>
    <t>DazelMessage_233648252.afp FE24137005715986 CASTELLANO
DazelMessage_233648259.afp FE24137005715986 CATALAN
DazelMessage_233648271.afp FE24137005715986 EUSKERA
DazelMessage_233648274.afp FE24137005715986 GALLEGO</t>
  </si>
  <si>
    <t>FAC_078</t>
  </si>
  <si>
    <t xml:space="preserve">Cálculo Factura  Impresión Producto Transitorio Tarifa ATR 6.1TD o 6.2TD o 6.3TD o 6.4TD Factura de energía de electricidad con Cambio de aparato en el mismo periodo de cálculo
Idioma: CA, ES, EU, GA
Domiciliada </t>
  </si>
  <si>
    <t>Suministro de Electricidad con cambio de precios con Cambio de aparato en el mismo periodo de cálculo
Tarifa de acceso 6.1TD o 6.2TD o 6.3TD o 6.4TD
Tarifa comercial Transitoria
ATR con o sin curva diaria
Formulario: F305</t>
  </si>
  <si>
    <t>FAC_079</t>
  </si>
  <si>
    <t xml:space="preserve">Cálculo Factura  Impresión Producto Transitorio Tarifa ATR 6.1TD o 6.2TD o 6.3TD o 6.4TD Factura de energía de electricidad con modo de envío Factura-e
Idioma: CA, ES, EU, GA
Domiciliada </t>
  </si>
  <si>
    <t>Suministro de Electricidad con cambio de precios con modo de envío Factura-e
Tarifa de acceso 6.1TD o 6.2TD o 6.3TD o 6.4TD
Tarifa comercial Transitoria
ATR con o sin curva diaria
Formulario: F305</t>
  </si>
  <si>
    <t>FAC_080</t>
  </si>
  <si>
    <t xml:space="preserve">Cálculo Factura  Impresión Cambio de Producto Inmediato de Bono Social a PVPC o de PVPC a Bono Social Tarifa ATR 2.0TD  Factura de energía de electricidad con cambio de producto en el mismo periodo de cálculo
Idioma: CA, ES, EU, GA
Domiciliada </t>
  </si>
  <si>
    <t>Suministro de Electricidad con Cambio de producto inmediato (dos productos en el mismo periodo de cálculo)
Tarifa de acceso 2.0TD
Cambio de producto inmediato de Tarifa comercial PVPC a Bono Social o Bono Social a PVPC
ATR con o sin curva diaria
Formularios: F301 o F303</t>
  </si>
  <si>
    <t>DazelMessage_233608252.xml FE24137023290198 CASTELLANO
DazelMessage_233608259.xml FE24137023290198 CATALAN
DazelMessage_233608266.xml FE24137023290198 EUSKERA
DazelMessage_233628252.xml FE24137023290198 GALLEGO</t>
  </si>
  <si>
    <t>DazelMessage_233608252.afp FE24137023290198 CASTELLANO
DazelMessage_233608259.afp FE24137023290198 CATALAN
DazelMessage_233608266.afp FE24137023290198 EUSKERA
DazelMessage_233628252.afp FE24137023290198 GALLEGO</t>
  </si>
  <si>
    <t>FAC_081</t>
  </si>
  <si>
    <t xml:space="preserve">Cálculo Factura  Impresión con conceptos incluidos en el cálculo (Cuidas y Conceptos exentos), Cualquier tarifa ATR (2.0TD, 3.0TD, 6.1TD, 6.2TD, 6.3TD o 6.4TD) y producto de electricidad (PVPC, Bono Social, Precio Fijo o Transitorio) Factura de energía de electricidad con conceptos incluidos en el cálculo (Cuidas y Conceptos exentos)
Idioma: CA, ES, EU, GA
Domiciliada </t>
  </si>
  <si>
    <t>Suministro de Electricidad con conceptos incluidos en el cálculo (Cuidas y Conceptos exentos)
Cualquier Tarifa de acceso de electricidad 2.0TD, 3.0TD, 6.1TD, 6.2TD, 6.3TD o 6.4TD
Cualquier de Tarifa comercial de electricidad PVPC, Bono Social, Precio Fijo o Transitorio
ATR con o sin curva diaria
Formularios: F301, F303, F305 o F307</t>
  </si>
  <si>
    <t>FAC_082</t>
  </si>
  <si>
    <t>Cálculo Factura  Impresión sin código de barras y DIR 3 (Oficina Contable, Unidad Tramitadora y Órgano Gestor), producto de electricidad (PVPC, Bono Social, Precio Fijo o Transitorio) Factura de energía de electricidad sin código de barras y DIR 3
Idioma: CA, ES, EU, GA
No domiciliada (sin código de barras)</t>
  </si>
  <si>
    <t>Suministro de Electricidad sin código de barras y DIR 3 (Oficina Contable, Unidad Tramitadora y Órgano Gestor)
Cualquier Tarifa de acceso de electricidad 2.0TD, 3.0TD, 6.1TD, 6.2TD, 6.3TD o 6.4TD
Cualquier de Tarifa comercial de electricidad PVPC, Bono Social, Precio Fijo o Transitorio
ATR con o sin curva diaria
Formularios: F302, F304, F306 o F308</t>
  </si>
  <si>
    <t>DazelMessage_233608256.xml FE25137003501332 CASTELLANO
DazelMessage_233608264.xml FE25137003501332 CATALAN
DazelMessage_233608271.xml FE25137003501332 EUSKERA
DazelMessage_233628257.xml FE25137003501332 GALLEGO</t>
  </si>
  <si>
    <t>DazelMessage_233608256.afp FE25137003501332 CASTELLANO
DazelMessage_233608264.afp FE25137003501332 CATALAN
DazelMessage_233608271.afp FE25137003501332 EUSKERA
DazelMessage_233628257.afp FE25137003501332 GALLEGO</t>
  </si>
  <si>
    <t>FAC_083</t>
  </si>
  <si>
    <t xml:space="preserve">Cálculo Factura  Impresión con cambio de IVA, Cualquier tarifa ATR (2.0TD, 3.0TD, 6.1TD, 6.2TD, 6.3TD o 6.4TD) y producto de electricidad (PVPC, Bono Social, Precio Fijo o Transitorio) Factura de energía de electricidad con cambio de IVA en el mismo periodo de cálculo
Idioma: CA, ES, EU, GA
Domiciliada </t>
  </si>
  <si>
    <t>Suministro de Electricidad con cambio de IVA en el mismo periodo de cálculo
Cualquier Tarifa de acceso de electricidad 2.0TD, 3.0TD, 6.1TD, 6.2TD, 6.3TD o 6.4TD
Cualquier de Tarifa comercial de electricidad PVPC, Bono Social, Precio Fijo o Transitorio
ATR con o sin curva diaria
Formularios: F301, F303, F305 o F307</t>
  </si>
  <si>
    <t>DazelMessage_233608254.xml FE15137000000356 CASTELLANO
DazelMessage_233608263.xml FE15137000000356 CATALAN
DazelMessage_233608270.xml FE15137000000356 EUSKERA
DazelMessage_233628256.xml FE15137000000356 GALLEGO</t>
  </si>
  <si>
    <t>DazelMessage_233608254.afp FE15137000000356 CASTELLANO
DazelMessage_233608263.afp FE15137000000356 CATALAN
DazelMessage_233608270.afp FE15137000000356 EUSKERA
DazelMessage_233628256.afp FE15137000000356 GALLEGO</t>
  </si>
  <si>
    <t>FAC_084</t>
  </si>
  <si>
    <t xml:space="preserve">Cálculo Factura  Impresión con impuesto I.P.S.I (Impuesto sobre la Producción, los Servicios y la Importación) en Ceuta o Melilla, Cualquier tarifa ATR (2.0TD, 3.0TD, 6.1TD, 6.2TD, 6.3TD o 6.4TD) y producto de electricidad (PVPC, Bono Social, Precio Fijo o Transitorio) Factura de energía de electricidad con IPSI
Idioma: CA, ES, EU, GA
Domiciliada </t>
  </si>
  <si>
    <t>Suministro de Electricidad con impuesto I.P.S.I (Impuesto sobre la Producción, los Servicios y la Importación) en Ceuta o Melilla
Cualquier Tarifa de acceso de electricidad 2.0TD, 3.0TD, 6.1TD, 6.2TD, 6.3TD o 6.4TD
Cualquier de Tarifa comercial de electricidad PVPC, Bono Social, Precio Fijo o Transitorio
ATR con o sin curva diaria
Formularios: F301, F303, F305 o F307</t>
  </si>
  <si>
    <t>DazelMessage_233608255.xml FM25137000000061 CASTELLANO
DazelMessage_233608262.xml FM25137000000061 CATALAN
DazelMessage_233608269.xml FM25137000000061 EUSKERA
DazelMessage_233628254.xml FM25137000000061 GALLEGO</t>
  </si>
  <si>
    <t>DazelMessage_233608255.afp FM25137000000061 CASTELLANO
DazelMessage_233608262.afp FM25137000000061 CATALAN
DazelMessage_233608269.afp FM25137000000061 EUSKERA
DazelMessage_233628254.afp FM25137000000061 GALLEGO</t>
  </si>
  <si>
    <t>FAC_085</t>
  </si>
  <si>
    <t xml:space="preserve">Cálculo Factura  Impresión con impuesto I.G.I.C (Impuesto General Indirecto Canario) en Canarias, Cualquier tarifa ATR (2.0TD, 3.0TD, 6.1TD, 6.2TD, 6.3TD o 6.4TD) y producto de electricidad (PVPC, Bono Social, Precio Fijo o Transitorio) Factura de energía de electricidad con IGIC
Idioma: CA, ES, EU, GA
Domiciliada </t>
  </si>
  <si>
    <t>Suministro de Electricidad con impuesto I.G.I.C (Impuesto General Indirecto Canario) en Canarias
Cualquier Tarifa de acceso de electricidad 2.0TD, 3.0TD, 6.1TD, 6.2TD, 6.3TD o 6.4TD
Cualquier de Tarifa comercial de electricidad PVPC, Bono Social, Precio Fijo o Transitorio
ATR con o sin curva diaria
Formularios: F301, F303, F305 o F307</t>
  </si>
  <si>
    <t>DazelMessage_233608252.xml FI22137000006327 CASTELLANO
DazelMessage_233608259.xml FI22137000006327 CATALAN
DazelMessage_233608266.xml FI22137000006327 EUSKERA
DazelMessage_233628252.xml FI22137000006327 GALLEGO</t>
  </si>
  <si>
    <t>DazelMessage_233608252.afp FI22137000006327 CASTELLANO
DazelMessage_233608259.afp FI22137000006327 CATALAN
DazelMessage_233608266.afp FI22137000006327 EUSKERA
DazelMessage_233628252.afp FI22137000006327 GALLEGO</t>
  </si>
  <si>
    <t>FAC_086</t>
  </si>
  <si>
    <t xml:space="preserve">Factura Separada de cargos varios de conceptos de electricidad Cualquier tarifa ATR (2.0TD, 3.0TD, 6.1TD, 6.2TD, 6.3TD o 6.4TD) y producto de electricidad (PVPC, Bono Social, Precio Fijo o Transitorio) Factura separada de cargos varios de conceptos de electricidad
Idioma: CA, ES, EU, GA
Domiciliada </t>
  </si>
  <si>
    <t>Factura separada de cargos varios de conceptos de electricidad
Cualquier Tarifa de acceso de electricidad 2.0TD, 3.0TD, 6.1TD, 6.2TD, 6.3TD o 6.4TD
Formularios: F309</t>
  </si>
  <si>
    <t>1. El CV se da de alta correctamente.
2. Se comprueba que el CV se ha creado correctamente.
3. Se comprueba que la factura separada de cargos varios se genera correctamente
4. La factura se recupera correctamente.
5. Se accede al detalle de la factura.
6. Se comprueba que el documento de impresión es correcto y se visualiza correctamente en el idioma del SE de la cuenta, todos los apartados de la factura separada de cargos varios de conceptos de electricidad</t>
  </si>
  <si>
    <t>DazelMessage_233588257.xml FS25137000596083 CASTELLANO
DazelMessage_233608260.xml FS25137000596083 CATALAN
DazelMessage_233608267.xml FS25137000596083 EUSKERA
DazelMessage_233628253.xml FS25137000596083 GALLEGO</t>
  </si>
  <si>
    <t>DazelMessage_233588257.afp FS25137000596083 CASTELLANO
DazelMessage_233608260.afp FS25137000596083 CATALAN
DazelMessage_233608267.afp FS25137000596083 EUSKERA
DazelMessage_233628253.afp FS25137000596083 GALLEGO</t>
  </si>
  <si>
    <t>FAC_087</t>
  </si>
  <si>
    <t xml:space="preserve">Factura Separada de cargos varios de conceptos de electricidad Cualquier tarifa ATR (2.0TD, 3.0TD, 6.1TD, 6.2TD, 6.3TD o 6.4TD) y producto de electricidad (PVPC, Bono Social, Precio Fijo o Transitorio) Factura separada de cargos varios de conceptos de electricidad
Idioma: CA, ES, EU, GA
No domiciliada </t>
  </si>
  <si>
    <t>Factura separada de cargos varios de conceptos de electricidad
Cualquier Tarifa de acceso de electricidad 2.0TD, 3.0TD, 6.1TD, 6.2TD, 6.3TD o 6.4TD
Formularios: F310</t>
  </si>
  <si>
    <t>DazelMessage_233588262.xml FS25137000952757 CASTELLANO
DazelMessage_233608264.xml FS25137000952757 CATALAN
DazelMessage_233608271.xml FS25137000952757 EUSKERA
DazelMessage_233628257.xmlFS25137000952757 GALLEGO</t>
  </si>
  <si>
    <t>DazelMessage_233588262.afp FS25137000952757 CASTELLANO
DazelMessage_233608264.afp FS25137000952757 CATALAN
DazelMessage_233608271.afp FS25137000952757 EUSKERA
DazelMessage_233628257.afpFS25137000952757 GALLEGO</t>
  </si>
  <si>
    <t>FAC_088</t>
  </si>
  <si>
    <t xml:space="preserve">Factura Separada de cargos varios de conceptos de electricidad Cualquier tarifa ATR (2.0TD, 3.0TD, 6.1TD, 6.2TD, 6.3TD o 6.4TD) y producto de electricidad (PVPC, Bono Social, Precio Fijo o Transitorio) Factura separada de cargos varios de conceptos exentos de electricidad
Idioma: CA, ES, EU, GA
Domiciliada </t>
  </si>
  <si>
    <t>Factura separada de cargos varios de conceptos exentos de electricidad
Cualquier Tarifa de acceso de electricidad 2.0TD, 3.0TD, 6.1TD, 6.2TD, 6.3TD o 6.4TD
Formularios: F309</t>
  </si>
  <si>
    <t>DazelMessage_233608257.xml FS24137001282274 CASTELLANO
DazelMessage_233608260.xml FS24137001282274 CATALAN
DazelMessage_233608267.xml FS24137001282274 EUSKERA
DazelMessage_233628253.xml FS24137001282274 GALLEGO</t>
  </si>
  <si>
    <t>DazelMessage_233608257.afp FS24137001282274 CASTELLANO
DazelMessage_233608260.afp FS24137001282274 CATALAN
DazelMessage_233608267.afp FS24137001282274 EUSKERA
DazelMessage_233628253.afp FS24137001282274 GALLEGO</t>
  </si>
  <si>
    <t>FAC_089</t>
  </si>
  <si>
    <t xml:space="preserve">Factura Separada de cargos varios de fraudes de electricidad Cualquier tarifa ATR (2.0TD, 3.0TD, 6.1TD, 6.2TD, 6.3TD o 6.4TD) y producto de electricidad (PVPC, Bono Social, Precio Fijo o Transitorio) Factura separada de cargos varios de fraudes de electricidad
Idioma: CA, ES, EU, GA
Domiciliada </t>
  </si>
  <si>
    <t>Factura separada de cargos varios de fraudes de electricidad
Cualquier Tarifa de acceso de electricidad 2.0TD, 3.0TD, 6.1TD, 6.2TD, 6.3TD o 6.4TD
Formularios: F311</t>
  </si>
  <si>
    <t>1. El CV se da de alta correctamente.
2. Se comprueba que el CV se ha creado correctamente.
3. Se comprueba que la factura separada de cargos varios se genera correctamente
4. La factura se recupera correctamente.
5. Se accede al detalle de la factura.
6. Se comprueba que el documento de impresión es correcto y se visualiza correctamente en el idioma del SE de la cuenta, todos los apartados de la factura separada de cargos varios de fraudes de electricidad</t>
  </si>
  <si>
    <t>DazelMessage_233608257.xml FS25137001005181 CASTELLANO
DazelMessage_233608260.xml FS25137001005181 CATALAN
DazelMessage_233608267.xml FS25137001005181 EUSKERA
DazelMessage_233628253.xml FS25137001005181 GALLEGO</t>
  </si>
  <si>
    <t>DazelMessage_233608257.afp FS25137001005181 CASTELLANO
DazelMessage_233608260.afp FS25137001005181 CATALAN
DazelMessage_233608267.afp FS25137001005181 EUSKERA
DazelMessage_233628253.afp FS25137001005181 GALLEGO</t>
  </si>
  <si>
    <t>FAC_090</t>
  </si>
  <si>
    <t xml:space="preserve">Factura Separada de cargos varios de fraudes de electricidad Cualquier tarifa ATR (2.0TD, 3.0TD, 6.1TD, 6.2TD, 6.3TD o 6.4TD) y producto de electricidad (PVPC, Bono Social, Precio Fijo o Transitorio) Factura separada de cargos varios de fraudes de electricidad
Idioma: CA, ES, EU, GA
No domiciliada </t>
  </si>
  <si>
    <t>Factura separada de cargos varios de fraudes de electricidad
Cualquier Tarifa de acceso de electricidad 2.0TD, 3.0TD, 6.1TD, 6.2TD, 6.3TD o 6.4TD
Formularios: F312</t>
  </si>
  <si>
    <t>DazelMessage_233588262.xml FS19137000003240 CASTELLANO
DazelMessage_233608264.xml FS19137000003240 CATALAN
DazelMessage_233608271.xml FS19137000003240 EUSKERA
DazelMessage_233628257.xml FS19137000003240 GALLEGO</t>
  </si>
  <si>
    <t>DazelMessage_233588262.afp FS19137000003240 CASTELLANO
DazelMessage_233608264.afp FS19137000003240 CATALAN
DazelMessage_233608271.afp FS19137000003240 EUSKERA
DazelMessage_233628257.afp FS19137000003240 GALLEGO</t>
  </si>
  <si>
    <t>FAC_091</t>
  </si>
  <si>
    <t xml:space="preserve">Factura Separada de cargos varios de cuidas (servicios) de electricidad Cualquier tarifa ATR (2.0TD, 3.0TD, 6.1TD, 6.2TD, 6.3TD o 6.4TD) y producto de electricidad (PVPC, Bono Social, Precio Fijo o Transitorio) Factura separada de cargos varios de cuidas de electricidad
Idioma: CA, ES, EU, GA
Domiciliada </t>
  </si>
  <si>
    <t>Factura separada de cargos varios de cuidas (servicios) de electricidad (conceptos de CV de cuidas y de descuentos de cuidas)
Cualquier Tarifa de acceso de electricidad 2.0TD, 3.0TD, 6.1TD, 6.2TD, 6.3TD o 6.4TD
Formularios: F313</t>
  </si>
  <si>
    <t>1. Se genera la factura separada de cargos varios de cuidas (servicios) y descuentos de cuidas de electricidad al generarse su factura de suministro asociada.
2. Se accede a la pantalla de Gestión de Facturas separadas de Cargos Varios, a través de Menú &gt; Facturación &gt; Proceso de Emisión, se introduce la factura de los datos de prueba y se pulsa Buscar.
6. Se pulsa sobre el hiperlink Nº Factura.
7. Se accede a la solapa Ver Doc. Impresión</t>
  </si>
  <si>
    <t>1. Se comprueba que la factura separada de cargos varios de cuidas (servicios) de electricidad se genera correctamente
4. La factura se recupera correctamente.
5. Se accede al detalle de la factura.
6. Se comprueba que el documento de impresión es correcto y se visualiza correctamente en el idioma del SE de la cuenta, todos los apartados de la factura separada de cargos varios de cuidas de electricidad</t>
  </si>
  <si>
    <t>DazelMessage_233608252.xml FS25137001189011 CASTELLANO
DazelMessage_233608259.xml FS25137001189011 CATALAN
DazelMessage_233608266.xml FS25137001189011 EUSKERA
DazelMessage_233628252.xml FS25137001189011 GALLEGO</t>
  </si>
  <si>
    <t>DazelMessage_233608252.afp FS25137001189011 CASTELLANO
DazelMessage_233608259.afp FS25137001189011 CATALAN
DazelMessage_233608266.afp FS25137001189011 EUSKERA
DazelMessage_233628252.afp FS25137001189011 GALLEGO</t>
  </si>
  <si>
    <t>FAC_092</t>
  </si>
  <si>
    <t xml:space="preserve">Factura Separada de cargos varios de cuidas (servicios) de electricidad Cualquier tarifa ATR (2.0TD, 3.0TD, 6.1TD, 6.2TD, 6.3TD o 6.4TD) y producto de electricidad (PVPC, Bono Social, Precio Fijo o Transitorio) Factura separada de cargos varios de cuidas de electricidad
Idioma: CA, ES, EU, GA
No domiciliada </t>
  </si>
  <si>
    <t>Factura separada de cargos varios de cuidas (servicios) de electricidad (conceptos de CV de cuidas y de descuentos de cuidas)
Cualquier Tarifa de acceso de electricidad 2.0TD, 3.0TD, 6.1TD, 6.2TD, 6.3TD o 6.4TD
Formularios: F314</t>
  </si>
  <si>
    <t>DazelMessage_233608255.xml FS25137000626547 CASTELLANO
DazelMessage_233608262.xml FS25137000626547 CATALAN
DazelMessage_233608269.xml FS25137000626547 EUSKERA
DazelMessage_233628254.xml FS25137000626547 GALLEGO</t>
  </si>
  <si>
    <t>DazelMessage_233608255.afp FS25137000626547 CASTELLANO
DazelMessage_233608262.afp FS25137000626547 CATALAN
DazelMessage_233608269.afp FS25137000626547 EUSKERA
DazelMessage_233628254.afp FS25137000626547 GALLEGO</t>
  </si>
  <si>
    <t>FAC_093</t>
  </si>
  <si>
    <t xml:space="preserve">Pruebas Impresión de encartes de publicidad, Cualquier tarifa ATR (2.0TD, 3.0TD, 6.1TD, 6.2TD, 6.3TD o 6.4TD) y producto de electricidad (PVPC, Bono Social, Precio Fijo o Transitorio) Facturas de energía de electricidad o facturas separadas de cargos varios
Idioma: CA, ES, EU, GA
Domiciliada </t>
  </si>
  <si>
    <t>Pruebas de impresión de encartes de facturas de energía de electricidad o facturas separadas de cargos varios de electricidad (conceptos, fraudes, cuidas electricidad)
Cualquier Tarifa de acceso de electricidad 2.0TD, 3.0TD, 6.1TD, 6.2TD, 6.3TD o 6.4TD
Cualquier de Tarifa comercial de electricidad PVPC, Bono Social, Precio Fijo o Transitorio
Formularios: F301, F303, F305, F307, F309,  F311 o F313</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</si>
  <si>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en el idioma del SE de la cuenta correctamente todos los apartados de la factura de energía de electricidad o factura separada de cargos varios de electricidad</t>
  </si>
  <si>
    <t>FAC_094</t>
  </si>
  <si>
    <t>Pruebas Impresión de Agrupadores electricidad Cualquier tarifa ATR de electricidad (2.0TD, 3.0TD, 6.1TD, 6.2TD, 6.3TD o 6.4TD) y producto de electricidad (PVPC, Bono Social, Precio Fijo o Transitorio) Facturas de energía de electricidad o facturas separadas de cargos varios de electricidad
Idioma: CA, ES, EU, GA
Domiciliada o No Domiciliada</t>
  </si>
  <si>
    <t>Pruebas de impresión de agrupadores de facturas de energía de electricidad o facturas separadas de cargos varios de electricidad (conceptos, fraudes, cuidas electricidad)
Cualquier Tarifa de acceso de electricidad 2.0TD, 3.0TD, 6.1TD, 6.2TD, 6.3TD o 6.4TD
Cualquier de Tarifa comercial de electricidad PVPC, Bono Social, Precio Fijo o Transitorio
Formulario: OOEE</t>
  </si>
  <si>
    <t>1. Se lanza el job de impresión de agrupadores de Smile (D5TFD242P) sólo con la variante de electricidad</t>
  </si>
  <si>
    <t>DazelMessage_237928254_ELEC.xml CASTELLANO
DazelMessage_237928258_ELEC.xml CATALAN
DazelMessage_237928259_ELEC.xml EUSKERA
DazelMessage_237928260_ELEC.xml GALLEGO</t>
  </si>
  <si>
    <t>DazelMessage_237928254_ELEC.afp CASTELLANO
DazelMessage_237928258_ELEC.afp CATALAN
DazelMessage_237928259_ELEC.afp EUSKERA
DazelMessage_237928260_ELEC.afp GALLEGO</t>
  </si>
  <si>
    <t>FAC_095</t>
  </si>
  <si>
    <t xml:space="preserve">Cálculo Factura  Impresión Producto PVPC con marca microempresa
Idioma: CA, ES, EU, GA
Domiciliada </t>
  </si>
  <si>
    <t>Suministro de Electricidad producto PVPC marca microempresa</t>
  </si>
  <si>
    <t>DazelMessage_233668257.xml FE25137020485119 CASTELLANO
DazelMessage_233668264.xml FE25137020485119 CATALAN
DazelMessage_233668272.xml FE25137020485119 EUSKERA
DazelMessage_233668275.xml FE25137020485119 GALLEGO</t>
  </si>
  <si>
    <t>DazelMessage_233668257_ele.afp FE25137020485119 CASTELLANO
DazelMessage_233668264_ele.afp FE25137020485119 CATALAN
DazelMessage_233668272_ele.afp FE25137020485119 EUSKERA
DazelMessage_233668275_ele.afp FE25137020485119 GALLEGO</t>
  </si>
  <si>
    <t>FAC_096</t>
  </si>
  <si>
    <t xml:space="preserve">Cálculo Factura  Impresión Producto electricidad con Ajuste con varios IIEE
Idioma: CA, ES, EU, GA
Domiciliada </t>
  </si>
  <si>
    <t>Cálculo Factura  Impresión Producto electricidad con Ajuste con varios IIEE</t>
  </si>
  <si>
    <t>DazelMessage_233648256.xml AE24137000201940 CASTELLANO
DazelMessage_233648262.xml AE24137000201940 CATALAN
DazelMessage_233648272.xml AE24137000201940 EUSKERA
DazelMessage_233648276.xml AE24137000201940 GALLEGO</t>
  </si>
  <si>
    <t>DazelMessage_233648256.afp AE24137000201940 CASTELLANO
DazelMessage_233648262.afp AE24137000201940 CATALAN
DazelMessage_233648272.afp AE24137000201940 EUSKERA
DazelMessage_233648276.afp AE24137000201940 GALLEGO</t>
  </si>
  <si>
    <t>FAC_097</t>
  </si>
  <si>
    <t xml:space="preserve">Cálculo Factura  Impresión Producto electricidad con Factura que tenga Mínimo Comunitario
Idioma: CA, ES, EU, GA
Domiciliada </t>
  </si>
  <si>
    <t>Cálculo Factura Impresión Producto electricidad con Factura que tenga Mínimo Comunitario</t>
  </si>
  <si>
    <t>DazelMessage_233648258.xml RE21137000121046 CASTELLANO
DazelMessage_233648261.xml RE21137000121046 CATALAN
DazelMessage_233648266.xml RE21137000121046 EUSKERA
DazelMessage_233648275.xml RE21137000121046 GALLEGO</t>
  </si>
  <si>
    <t>DazelMessage_233648258.afp RE21137000121046 CASTELLANO
DazelMessage_233648261.afp RE21137000121046 CATALAN
DazelMessage_233648266.afp RE21137000121046 EUSKERA
DazelMessage_233648275.afp RE21137000121046 GALLEGO</t>
  </si>
  <si>
    <t>FAC_098</t>
  </si>
  <si>
    <t xml:space="preserve">Cálculo Factura  Impresión Producto electricidad con PVPC que incluya compensación excedente, límite compensación excedente, retardo autoconsumo distribuidor o comercializador y su limite correspondiente.
Idioma: CA, ES, EU, GA
Domiciliada </t>
  </si>
  <si>
    <t xml:space="preserve">Cálculo Factura Impresión Producto electricidad con PVPC que incluya compensación excedente, límite compensación excedente, retardo autoconsumo distribuidor o comercializador y su límite correspondiente. </t>
  </si>
  <si>
    <t>DazelMessage_233648258.xml FE25137019644941 CASTELLANO
DazelMessage_233648261.xml FE25137019644941 CATALAN
DazelMessage_233648266.xml FE25137019644941 EUSKERA
DazelMessage_233648275.xml FE25137019644941 GALLEGO
DazelMessage_233648258.xml FE25137002448799 CASTELLANO
DazelMessage_233648261.xml FE25137002448799 CATALAN
DazelMessage_233648266.xml FE25137002448799 EUSKERA
DazelMessage_233648275.xml FE25137002448799 GALLEGO
DazelMessage_233648258.xml FE25137001939522 CASTELLANO
DazelMessage_233648261.xml FE25137001939522 CATALAN
DazelMessage_233648266.xml FE25137001939522 EUSKERA
DazelMessage_233648275.xml FE25137001939522 GALLEGO</t>
  </si>
  <si>
    <t>DazelMessage_233648258.afp FE25137019644941 CASTELLANO
DazelMessage_233648261.afp FE25137019644941 CATALAN
DazelMessage_233648266.afp FE25137019644941 EUSKERA
DazelMessage_233648275.afp FE25137019644941 GALLEGO
DazelMessage_233648258.afp FE25137002448799 CASTELLANO
DazelMessage_233648261.afp FE25137002448799 CATALAN
DazelMessage_233648266.afp FE25137002448799 EUSKERA
DazelMessage_233648275.afp FE25137002448799 GALLEGO
DazelMessage_233648258.afp FE25137001939522 CASTELLANO
DazelMessage_233648261.afp FE25137001939522 CATALAN
DazelMessage_233648266.afp FE25137001939522 EUSKERA
DazelMessage_233648275.afp FE25137001939522 GALLEGO</t>
  </si>
  <si>
    <t>FAC_099</t>
  </si>
  <si>
    <t xml:space="preserve">Cálculo Factura  Impresión Producto electricidad con Bono Social Vulnerable que incluya compensación excedente, límite compensación excedente, retardo autoconsumo distribuidor o comercializador y su limite correspondiente.
Idioma: CA, ES, EU, GA
Domiciliada </t>
  </si>
  <si>
    <t xml:space="preserve">Cálculo Factura Impresión Producto electricidad con Bono Social Vulnerable que incluya compensación excedente, límite compensación excedente, retardo autoconsumo distribuidor o comercializador y su límite correspondiente. </t>
  </si>
  <si>
    <t>DazelMessage_233648257.xml FE24137026414443 CASTELLANO
DazelMessage_233648263.xml FE24137026414443 CATALAN
DazelMessage_233648267.xml FE24137026414443 EUSKERA
DazelMessage_233648273.xml FE24137026414443 GALLEGO
DazelMessage_233648257.xml FE25137001929477 CASTELLANO
DazelMessage_233648263.xml FE25137001929477 CATALAN
DazelMessage_233648267.xml FE25137001929477 EUSKERA
DazelMessage_233648273.xml FE25137001929477 GALLEGO
DazelMessage_233648257.xml FE25137019681393 CASTELLANO
DazelMessage_233648263.xml FE25137019681393 CATALAN
DazelMessage_233648267.xml FE25137019681393 EUSKERA
DazelMessage_233648273.xml FE25137019681393 GALLEGO</t>
  </si>
  <si>
    <t>DazelMessage_233648257.afp FE24137026414443 CASTELLANO
DazelMessage_233648263.afp FE24137026414443 CATALAN
DazelMessage_233648267.afp FE24137026414443 EUSKERA
DazelMessage_233648273.afp FE24137026414443 GALLEGO
DazelMessage_233648257.afp FE25137001929477 CASTELLANO
DazelMessage_233648263.afp FE25137001929477 CATALAN
DazelMessage_233648267.afp FE25137001929477 EUSKERA
DazelMessage_233648273.afp FE25137001929477 GALLEGO
DazelMessage_233648257.afp FE25137019681393 CASTELLANO
DazelMessage_233648263.afp FE25137019681393 CATALAN
DazelMessage_233648267.afp FE25137019681393 EUSKERA
DazelMessage_233648273.afp FE25137019681393 GALLEGO</t>
  </si>
  <si>
    <t>FAC_100</t>
  </si>
  <si>
    <t xml:space="preserve">Factura que contenga el mensaje del topado con el megawatio/hora.
Idioma: CA, ES, EU, GA
Domiciliada </t>
  </si>
  <si>
    <t>Factura que contenga el mensaje del topado con el megawatio/hora.</t>
  </si>
  <si>
    <t>DazelMessage_233668256.xml FE23137011512470 CASTELLANO
DazelMessage_233668262.xml FE23137011512470 CATALAN
DazelMessage_233668266.xml FE23137011512470 EUSKERA
DazelMessage_233668274.xml FE23137011512470 GALLEGO</t>
  </si>
  <si>
    <t>DazelMessage_233668256_ele.afp FE23137011512470 CASTELLANO
DazelMessage_233668262_ele.afp FE23137011512470 CATALAN
DazelMessage_233668266_ele.afp FE23137011512470 EUSKERA
DazelMessage_233668274_ele.afp FE23137011512470 GALLEGO</t>
  </si>
  <si>
    <t>FAC_101</t>
  </si>
  <si>
    <t xml:space="preserve">Factura que contenga Operaciones a Presentar de Gas.
Idioma: CA, ES, EU, GA
Domiciliada </t>
  </si>
  <si>
    <t>Factura que contenga OPs de Gas.</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</si>
  <si>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en el idioma del SE de la cuenta correctamente todos los apartados de la factura de gas</t>
  </si>
  <si>
    <t>DazelMessage_233648253.xml FE21137028558574 CASTELLANO
DazelMessage_233648265.xml FE21137028558574 CATALAN
DazelMessage_233648268.xml FE21137028558574 EUSKERA
DazelMessage_233648278.xml FE21137028558574 GALLEGO</t>
  </si>
  <si>
    <t>DazelMessage_233648253.afp FE21137028558574 CASTELLANO
DazelMessage_233648265.afp FE21137028558574 CATALAN
DazelMessage_233648268.afp FE21137028558574 EUSKERA
DazelMessage_233648278.afp FE21137028558574 GALLEGO</t>
  </si>
  <si>
    <t>FAC_102</t>
  </si>
  <si>
    <t xml:space="preserve">Factura que contenga Operaciones a Presentar de Electricidad.
Idioma: CA, ES, EU, GA
Domiciliada </t>
  </si>
  <si>
    <t>Factura que contenga OPs de Electricidad.</t>
  </si>
  <si>
    <t>1. Se recupera la OC.
2. El cálculo se realiza correctamente.
3. Se recupera correctamente el DC generado.
4. Se accede al detalle y se comprueba que el cálculo se ha generado correctamente:
5. La factura se recupera correctamente.
6. Se accede al detalle de la factura.
7. Se comprueba en el documento de impresión:
 - Se visualiza la factura en PDF, en el idioma del SE de la cuenta correctamente todos los apartados de la factura de electricidad</t>
  </si>
  <si>
    <t>DazelMessage_233648257.xml FE25137019309628 CASTELLANO
DazelMessage_233648263.xml FE25137019309628 CATALAN
DazelMessage_233648267.xml FE25137019309628 EUSKERA
DazelMessage_233648273.xml FE25137019309628 GALLEGO</t>
  </si>
  <si>
    <t>DazelMessage_233648257.afp FE25137019309628 CASTELLANO
DazelMessage_233648263.afp FE25137019309628 CATALAN
DazelMessage_233648267.afp FE25137019309628 EUSKERA
DazelMessage_233648273.afp FE25137019309628 GALLEGO</t>
  </si>
  <si>
    <t>Generación carta C101_Carta 347 total - Declaración anual de operaciones con terceras personas</t>
  </si>
  <si>
    <t>Carta de la misma tipología e idioma generada con anterioridad.
Idiomas: ES, CA, EU, GA</t>
  </si>
  <si>
    <t>Se localiza la última carta de esta tipología para cada idioma. 
Se actualiza el evento para volver a generarla con las fechas actuales.
Se ejecutan los procesos procesadores de eventos: DECBD6101P, DECBD6102P, DECBD6103P, DECB6104P, DECBD6105P.
Se ejecutan el proceso de generación de xml/envio a Dazel DECBD6199P.</t>
  </si>
  <si>
    <t>Se genera el xml de la carta.</t>
  </si>
  <si>
    <t>Elect/Gas</t>
  </si>
  <si>
    <t>Lola Lozano Sauras /Cristina Rincón (M. Simón)</t>
  </si>
  <si>
    <t>DazelMessage_234568252.xml</t>
  </si>
  <si>
    <t>C101.pdf</t>
  </si>
  <si>
    <t>Generación carta C102_Carta 347 detalle - Declaración anual de operaciones con terceras personas</t>
  </si>
  <si>
    <t>DazelMessage_233548252.xml</t>
  </si>
  <si>
    <t>C102.pdf</t>
  </si>
  <si>
    <t xml:space="preserve">Generación carta C103_Carta auditores </t>
  </si>
  <si>
    <t>C103.pdf</t>
  </si>
  <si>
    <t>Generación carta C104_Carta auditores saldo cero</t>
  </si>
  <si>
    <t>C104.pdf</t>
  </si>
  <si>
    <t>Generación carta C105_Carta reconocimiento de deuda (Minorista)</t>
  </si>
  <si>
    <t>C105.pdf</t>
  </si>
  <si>
    <t>Generación carta C107_Carta documento de pago</t>
  </si>
  <si>
    <t>C107.pdf</t>
  </si>
  <si>
    <t>Generación carta C109_Carta recibo domiciliada</t>
  </si>
  <si>
    <t>DazelMessage_234588253.xml</t>
  </si>
  <si>
    <t>C109.pdf</t>
  </si>
  <si>
    <t>Generación carta C110_Carta recibo no domiciliado</t>
  </si>
  <si>
    <t>C110.pdf</t>
  </si>
  <si>
    <t>Generación carta C111_Carta recibo AAPP y clientes grupo</t>
  </si>
  <si>
    <t>C111.pdf</t>
  </si>
  <si>
    <t>Generación carta C112_Carta justificante de cobro</t>
  </si>
  <si>
    <t>DazelMessage_233548253.xml</t>
  </si>
  <si>
    <t>C112.pdf</t>
  </si>
  <si>
    <t>Generación carta C113_Carta devolución tarjeta</t>
  </si>
  <si>
    <t>C113.pdf</t>
  </si>
  <si>
    <t>Generación carta C114_Carta devolución domiciliada</t>
  </si>
  <si>
    <t>C114.pdf</t>
  </si>
  <si>
    <t>Generación carta C117_Carta remesado</t>
  </si>
  <si>
    <t>C117.pdf</t>
  </si>
  <si>
    <t>Generación carta C120_1ª Carta aviso deuda/corte 
(Procedicimiento NC)</t>
  </si>
  <si>
    <t>C120.pdf</t>
  </si>
  <si>
    <t>Generación carta C121_2º Carta aviso deuda/corte 
(Procedicimiento NC)</t>
  </si>
  <si>
    <t>C121.pdf</t>
  </si>
  <si>
    <t>Generación carta C124_Carta Baja con deuda (Procedicimiento NC)</t>
  </si>
  <si>
    <t>C124.pdf</t>
  </si>
  <si>
    <t>Generación carta C125_1ª Carta aviso deuda/corte (Procedicimiento Gas Mensajería)</t>
  </si>
  <si>
    <t>Generación carta C126_2º Carta aviso deuda/corte 
(Procedicimiento Luz Mensajería)</t>
  </si>
  <si>
    <t>C126.pdf</t>
  </si>
  <si>
    <t>Generación carta C132_Carta Baja con deuda(Procedicimiento Gas Mensajería)</t>
  </si>
  <si>
    <t>C142.pdf</t>
  </si>
  <si>
    <t>COB_020</t>
  </si>
  <si>
    <t>Generación carta C144_Carta segundo aviso de deuda</t>
  </si>
  <si>
    <t>C144.pdf</t>
  </si>
  <si>
    <t>COB_021</t>
  </si>
  <si>
    <t>Generación carta C302_Segundo Aviso Impago Electricidad</t>
  </si>
  <si>
    <t>C302.pdf</t>
  </si>
  <si>
    <t>COB_022</t>
  </si>
  <si>
    <t>Generación carta C303_Primer Requerimiento Fehaciente de Pago</t>
  </si>
  <si>
    <t>C303.pdf</t>
  </si>
  <si>
    <t>COB_023</t>
  </si>
  <si>
    <t>Generación carta C304_Segundo Requerimiento Fehaciente de Pago</t>
  </si>
  <si>
    <t>C304.pdf</t>
  </si>
  <si>
    <t>COB_024</t>
  </si>
  <si>
    <t>Generación carta C308_Carta de Baja(Procedimiento Luz Mensajeria)</t>
  </si>
  <si>
    <t>C308.pdf</t>
  </si>
  <si>
    <t>COB_025</t>
  </si>
  <si>
    <t>Generación carta C309_Carta devolución tarjeta ELEC</t>
  </si>
  <si>
    <t xml:space="preserve">Electricidad </t>
  </si>
  <si>
    <t>C309.pdf</t>
  </si>
  <si>
    <t>COB_026</t>
  </si>
  <si>
    <t>Generación carta C310_Carta Devolución domiciliada</t>
  </si>
  <si>
    <t>C310.pdf</t>
  </si>
  <si>
    <t>COB_027</t>
  </si>
  <si>
    <t>Generación carta C312_Aviso Impago Facturas de Servicios (CUIDA)</t>
  </si>
  <si>
    <t>C312.pdf</t>
  </si>
  <si>
    <t>CYV_006</t>
  </si>
  <si>
    <t>Generación Carta_G031 Orden de Domiciliación SEPA</t>
  </si>
  <si>
    <t>Contratación</t>
  </si>
  <si>
    <t>Cliente con pvpc 2.0td 
Idioma: CA, ES, EU, GA</t>
  </si>
  <si>
    <t xml:space="preserve">*Seleccionar un contrato con tarifa pvpc activa
*En las opciones de la Lo solicitamos una modificación de forma de pago a DOMICILIADA
*Al validar la oferta se creará la solicitud de impresión
*Se ha de ejecutar el batch de impresión de contratos </t>
  </si>
  <si>
    <t>Se generará el xml Carta_G031 Orden de Domiciliación SEPA</t>
  </si>
  <si>
    <t>G031_E.xml
G031_C.xml
G031_K.xml
G031_G.xml</t>
  </si>
  <si>
    <t>G031_E.afp.pdf
G031_C.afp.pdf
G031_K.afp.pdf
G031_G.afp.pdf</t>
  </si>
  <si>
    <t>CYV_007</t>
  </si>
  <si>
    <t>Generación Carta_G340 Carta de reubicación</t>
  </si>
  <si>
    <t>Cliente con RL.1
Idioma: CA, ES, EU, GA</t>
  </si>
  <si>
    <t xml:space="preserve">*Cargar comunicación de reubicación  desde la pantalla de comunicaciones
*Enviar la comunicación una vez cargada
*Se creará la solicitud de impresión
*Se ha de ejecutar el batch de impresión de contratos </t>
  </si>
  <si>
    <t>Se generará el xml Carta_G340 Carta de reubicación</t>
  </si>
  <si>
    <t>G340_E.xml
G340_C.xml
G340_K.xml
G340_G.xml</t>
  </si>
  <si>
    <t>G340_E.afp.pdf
G340_C.afp.pdf
G340_K.afp.pdf
G340_G.afp.pdf</t>
  </si>
  <si>
    <t>CYV_008</t>
  </si>
  <si>
    <t>Carta_G347 Carta acepto bono social MINETAD</t>
  </si>
  <si>
    <t xml:space="preserve">*Dar de alta un bono social sobre un cliente con pvpc 2.0td. 
* Se ha de configurar el bs y añadir la documentación de alta
* En el botón bs seleccionar alta y aceptar.
* Se deberá cargar la respuesta de acepto 
* Se ha de ejecutar el batch de impresión de contratos 
</t>
  </si>
  <si>
    <t>Se generará el xml G347 Alta.</t>
  </si>
  <si>
    <t>Teresa Mor / Eugenia Mauricio</t>
  </si>
  <si>
    <t>G347_A_E.xml
G347_A_C.xml
G347_A_K.xml
G347_A_G.xml</t>
  </si>
  <si>
    <t>G347_A_E.afp.pdf
G347_A_C.afp.pdf
G347_A_K.afp.pdf
G347_A_G.afp.pdf</t>
  </si>
  <si>
    <t>CYV_009</t>
  </si>
  <si>
    <t>Cliente con Vulnerable 2.0td 
Idioma: CA, ES, EU, GA</t>
  </si>
  <si>
    <t xml:space="preserve">*Dar de alta un bono social sobre un cliente con pvpc 2.0td. 
* Se ha de configurar el bs y añadir la documentación de renovación
* En el botón bs seleccionar renovación y aceptar.
* Se deberá cargar la respuesta de acepto 
* Se ha de ejecutar el batch de impresión de contratos 
</t>
  </si>
  <si>
    <t>G347_R_E.xml
G347_R_C.xml
G347_R_K.xml
G347_R_G.xml</t>
  </si>
  <si>
    <t xml:space="preserve">
G347_R_E.afp.pdf
G347_R_C.afp.pdf
G347_R_K.afp.pdf
G347_R_G.afp.pdf</t>
  </si>
  <si>
    <t>CYV_010</t>
  </si>
  <si>
    <t>Generación Carta_G348 - Rechazo</t>
  </si>
  <si>
    <t xml:space="preserve">*Dar de alta un bono social sobre un cliente con pvpc 2.0td. 
* Se ha de configurar el bs y añadir la documentación de alta
* En el botón bs seleccionar alta y aceptar.
* Se deberá cargar la respuesta de rechazo 
* Se ha de ejecutar el batch de impresión de contratos 
</t>
  </si>
  <si>
    <t>Se generará el xml G348 Rechazo.</t>
  </si>
  <si>
    <t>G348_E.xml
G348_C.xml
G348_K.xml
G348_G.xml</t>
  </si>
  <si>
    <t>G348_E.afp.pdf
G348_C.afp.pdf
G348_K.afp.pdf
G348_G.afp.pdf</t>
  </si>
  <si>
    <t>CYV_011</t>
  </si>
  <si>
    <t>Generación Carta_G349 - Rechazo preminetad</t>
  </si>
  <si>
    <t xml:space="preserve">*Seleccionar la opción "Carta rechazo bs" en la pestaña bono social dentro de la LO
*Seleccionar el motivo de rechazo y aceptar
*Se ha de ejecutar el batch de impresión de contratos </t>
  </si>
  <si>
    <t>Se generará el xml G349 Rechazo preminetad.</t>
  </si>
  <si>
    <t>G349_E.xml
G349_C.xml
G349_K.xml
G349_G.xml</t>
  </si>
  <si>
    <t>G349_E.afp.pdf
G349_C.afp.pdf
G349_K.afp.pdf
G349_G.afp.pdf</t>
  </si>
  <si>
    <t>CYV_012</t>
  </si>
  <si>
    <t>Generación Carta_G350 - Reproceso Alta</t>
  </si>
  <si>
    <t xml:space="preserve">*Dar de alta un bono social sobre un cliente con pvpc 2.0td. 
* Se ha de configurar el bs con pensión mínima y añadir la documentación de alta
* En el botón bs seleccionar alta y aceptar.
* Se deberá cargar la respuesta de rechazo con uno de los motivos  que provocan el reproceso a renta
* Se ha de ejecutar el batch de impresión de contratos </t>
  </si>
  <si>
    <t>Se generará el xml G350 Reproceso Alta</t>
  </si>
  <si>
    <t>G350_E.xml
G350_C.xml
G350_K.xml
G350_G.xml</t>
  </si>
  <si>
    <t>G350_E.afp.pdf
G350_C.afp.pdf
G350_K.afp.pdf
G350_G.afp.pdf</t>
  </si>
  <si>
    <t>CYV_013</t>
  </si>
  <si>
    <t>Generación Carta_G351 - Reproceso Renovación</t>
  </si>
  <si>
    <t xml:space="preserve">*Dar de alta un bono social sobre un cliente con pvpc 2.0td. 
* Se ha de configurar el bs con pensión mínima y añadir la documentación de renovación
* En el botón bs seleccionar renovación y aceptar.
* Se deberá cargar la respuesta de rechazo con uno de los motivos  que provocan el reproceso a renta
* Se ha de ejecutar el batch de impresión de contratos </t>
  </si>
  <si>
    <t>Se generará el xml G350 Reproceso Renovación</t>
  </si>
  <si>
    <t xml:space="preserve">
G351_E.xml
G351_C.xml
G351_K.xml
G351_G.xml</t>
  </si>
  <si>
    <t>G351_E.afp.pdf
G351_C.afp.pdf
G351_K.afp.pdf
G351_G.afp.pdf</t>
  </si>
  <si>
    <t>CYV_014</t>
  </si>
  <si>
    <t>Generación Carta_A046 Carta de Subrogación de Contrato</t>
  </si>
  <si>
    <t>Cliente con contrato activo
Idioma: CA, ES, EU, GA</t>
  </si>
  <si>
    <t>*Realizar cambio de titular en un contrato activo sobre otro cliente
*Al terminar el proceso se ha de ejecutar el batch D5ATD075P</t>
  </si>
  <si>
    <t>Se generará el xml A046 Carta de Subrogación de Contrato</t>
  </si>
  <si>
    <t>A046_E.xml
A046_C.xml
A046_K.xml
A046_G.xml</t>
  </si>
  <si>
    <t>A046_E.afp.pdf
A046_C.afp.pdf
A046_K.afp.pdf
A046_G.afp.pdf</t>
  </si>
  <si>
    <t>CYV_001</t>
  </si>
  <si>
    <t>Generación Carta_G013 Alta contrato PVPC 2.0TD</t>
  </si>
  <si>
    <t>Nuevo contrato sobre cliente existente sin contrato activo en el suministro
Idioma: CA, ES, EU, GA</t>
  </si>
  <si>
    <t xml:space="preserve">*Dar de alta un contrato eléctrico a través de la posición de cliente.
* Seleccionar la ubicación y crear oferta
* Rellenar los datos de producto, potencias, formas de pago a través de la LO
* Validar oferta quedando esta en curso. 
* Se ha de ejecutar el batch de impresión de contratos </t>
  </si>
  <si>
    <t>Se generará el xml Carta_G013 Alta contrato PVPC 2.0TD</t>
  </si>
  <si>
    <t>Javier Alvarez</t>
  </si>
  <si>
    <t>G13 1_C.xml
G13 1_E.xml
G13 1_G.xml
G13 1_K.xml</t>
  </si>
  <si>
    <t>G13 1_C.afp.pdf
G13 1_E.afp.pdf
G13 1_G.afp.pdf
G13 1_K.afp.pdf</t>
  </si>
  <si>
    <t>CYV_002</t>
  </si>
  <si>
    <t>Generación Carta_G311 G341 Alta contrato Gas</t>
  </si>
  <si>
    <t xml:space="preserve">*Dar de alta un contrato gas a través de la posición de cliente.
* Seleccionar la ubicación y crear oferta
* Rellenar los datos de producto,caudal, formas de pago a través de la LO
* Validar oferta quedando esta en curso. 
* Se ha de ejecutar el batch de impresión de contratos 
</t>
  </si>
  <si>
    <t>Se generará el xml Carta_G311 G341 Alta contrato Gas</t>
  </si>
  <si>
    <t>G311 G341_C.xml
G311 G341_E.xml
G311 G341_K.xml
G311 G341_G.xml</t>
  </si>
  <si>
    <t>G311 G341_C.afp.pdf
G311 G341_E.afp.pdf
G311 G341_K.afp.pdf
G311 G341_G.afp.pdf</t>
  </si>
  <si>
    <t>CYV_003</t>
  </si>
  <si>
    <t>Generación Carta_G311 G342 Solicitud copia de contrato</t>
  </si>
  <si>
    <t>Cliente con contrato activo en un producto de gas
Idioma: CA, ES, EU, GA</t>
  </si>
  <si>
    <t xml:space="preserve">*Seleccionar en las opciones de lo "duplicado de contrato"
* Seleccionar copia de impresión y aceptar
* Se ha de ejecutar el batch de impresión de contratos </t>
  </si>
  <si>
    <t>Se generará el xml Carta_G311 G342 Solicitud copia de contrato</t>
  </si>
  <si>
    <t>G311 G342_C.xml
G311 G342_E.xml
G311 G342_K.xml
G311 G342_G.xml</t>
  </si>
  <si>
    <t>G311 G342_C.afp.pdf
G311 G342_E.afp.pdf
G311 G342_K.afp.pdf
G311 G342_G.afp.pdf</t>
  </si>
  <si>
    <t>CYV_004</t>
  </si>
  <si>
    <t>Generación Carta_G311 G343 Contrato tras CT</t>
  </si>
  <si>
    <t>*Realizar cambio de titular en un contrato activo sobre otro cliente
*Al terminar el proceso se ha de ejecutar el batch de impresión para generar la carta</t>
  </si>
  <si>
    <t>Se generará el xml Carta_G311 G343 Contrato tras CT</t>
  </si>
  <si>
    <t xml:space="preserve">
G311 G343_C.xml
G311 G343_E.xml
G311 G343_K.xml
G311 G343_G.xml</t>
  </si>
  <si>
    <t>G311 G343_C.afp.pdf
G311 G343_E.afp.pdf
G311 G343_K.afp.pdf
G311 G343_G.afp.pdf</t>
  </si>
  <si>
    <t>CYV_005</t>
  </si>
  <si>
    <t>Generación Carta_G311 G344 Contrato tras cambio tarifa</t>
  </si>
  <si>
    <t xml:space="preserve">*Seleccionar un contrato con tarifa gas activa
*En las opciones de la Lo solicitamos un cambio de producto
*Al validar la oferta se creará la solicitud de impresión
*Se ha de ejecutar el batch de impresión de contratos </t>
  </si>
  <si>
    <t>Se generará el xml Carta_G311 G344 Contrato tras cambio tarifa</t>
  </si>
  <si>
    <t>G311 G344_C.xml
G311 G344_E.xml
G311 G344_K.xml
G311 G344_G.xml</t>
  </si>
  <si>
    <t>G311 G344_C.afp.pdf
G311 G344_E.afp.pdf
G311 G344_K.afp.pdf
G311 G344_G.afp.pdf</t>
  </si>
  <si>
    <t>E380 - 00000 - Validar Impresión Facturas SERVINFORM / Versión 2023/12</t>
  </si>
  <si>
    <t>Pruebas integradas</t>
  </si>
  <si>
    <t>PdP</t>
  </si>
  <si>
    <t>Nombre Versión</t>
  </si>
  <si>
    <t>Version</t>
  </si>
  <si>
    <t>Entidad Asociada</t>
  </si>
  <si>
    <t>COD Entidad Asociada</t>
  </si>
  <si>
    <t>Tipo PdP</t>
  </si>
  <si>
    <t>Equipo Asociado</t>
  </si>
  <si>
    <t>Código CdP</t>
  </si>
  <si>
    <t>Juego de datos</t>
  </si>
  <si>
    <t>Datos del CdP Papyrus</t>
  </si>
  <si>
    <t>Datos del CdP Servinform</t>
  </si>
  <si>
    <t>Tipo de CdP</t>
  </si>
  <si>
    <t>Estado CdP</t>
  </si>
  <si>
    <t>Código de Carga</t>
  </si>
  <si>
    <t>Tiempo de Diseño (mins)</t>
  </si>
  <si>
    <t>Tiempo de Ejecución Estimado (mins)</t>
  </si>
  <si>
    <t>Objeto / Componente</t>
  </si>
  <si>
    <t>Sistema Origen</t>
  </si>
  <si>
    <t>Resultado Esperado Origen</t>
  </si>
  <si>
    <t>Sistema Destino</t>
  </si>
  <si>
    <t>Resultado Esperado Destino</t>
  </si>
  <si>
    <t>Fecha liberado</t>
  </si>
  <si>
    <t>00000 - Validar Impresión Facturas SERVINFORM</t>
  </si>
  <si>
    <t>v9.25</t>
  </si>
  <si>
    <t>2023/12</t>
  </si>
  <si>
    <t>Mantenimiento Evolutivo</t>
  </si>
  <si>
    <t>Funcional / Certificación</t>
  </si>
  <si>
    <t>Impresión de facturas</t>
  </si>
  <si>
    <t>SERVINFORM</t>
  </si>
  <si>
    <t>MEG-2618</t>
  </si>
  <si>
    <t>Envío Impresión Certificaciones</t>
  </si>
  <si>
    <t>1 idioma</t>
  </si>
  <si>
    <t>Media</t>
  </si>
  <si>
    <t>Funcional</t>
  </si>
  <si>
    <t>TERMINADO</t>
  </si>
  <si>
    <t>Lorena Bernuz /Kiko</t>
  </si>
  <si>
    <t>pendiente</t>
  </si>
  <si>
    <t>MEG-2616</t>
  </si>
  <si>
    <t>Envío Impresión Facturas</t>
  </si>
  <si>
    <t>2 idiomas</t>
  </si>
  <si>
    <t>MEG-2617</t>
  </si>
  <si>
    <t>Envío Impresión Cartas</t>
  </si>
  <si>
    <t>Catalan</t>
  </si>
  <si>
    <t>Portugues</t>
  </si>
  <si>
    <t>MEG-2619</t>
  </si>
  <si>
    <t>Impresión Facturas - Fichero Respuestas</t>
  </si>
  <si>
    <t>MEG-2620</t>
  </si>
  <si>
    <t>Impresión Cartas - Fichero Respuestas</t>
  </si>
  <si>
    <t>MEG-2621</t>
  </si>
  <si>
    <t>Impresión Certificaciones - Fichero Respuestas</t>
  </si>
  <si>
    <t>MEG-2622</t>
  </si>
  <si>
    <t>Impresión Factura - Parámetros circuito</t>
  </si>
  <si>
    <t>Se valida que la sección continen un identificador de envío único.</t>
  </si>
  <si>
    <t>MEG-2624</t>
  </si>
  <si>
    <t>Impresión Factura - Datos Documento</t>
  </si>
  <si>
    <t>Se valida que el formato de los apartados:
	Datos de factura: Fechas, Número de documento, contrato, etc. 
	Dirección correspondencia, Razón social, Punto de suministro  </t>
  </si>
  <si>
    <t>Castellano</t>
  </si>
  <si>
    <t>CASTELLANO
solfac A 00004444 2025FA00012807.pdf
solfac B 00004484 2025FA00012808.pdf
solfac C 90023950 2025FA00012831.pdf
solfac D 90031924 2025FA00012643.pdf
solfac E 90032372 2025FA00012874.pdf
solfac F 90033198 2025FA00012891.pdf
solfac G 90043847 2023FA00008653.pdf
solfac H 90043855 2025FA00020476.pdf</t>
  </si>
  <si>
    <t xml:space="preserve">CASTELLANO:
2025FA00012807_25121516511616.pdf
2025FA00012808_25121516512222.pdf
2025FA00012831_25121516512828.pdf
2025FA00012643_25121516511010.pdf
2025FA00012874_25121516513434.pdf
2025FA00012891_25121516514141.pdf
2023FA00008653_25121516510303.pdf
202500020476_25121516544444.pdf
</t>
  </si>
  <si>
    <t>Se valida que el formato de los apartados:
Datos de factura: Fechas, Número de documento, contrato, etc. 
Dirección correspondencia, Razón social, Punto de suministro  </t>
  </si>
  <si>
    <t> impresionNuevaFactura_C_00004444_2025FA00012807_1535227_20251205_141008.afp
impresionNuevaFactura_C_00004484_2025FA00012808_1535228_20251205_141010.afp
impresionNuevaFactura_C_90023950_2025FA00012831_1535284_20251205_141011.afp
impresionNuevaFactura_C_90031924_2025FA00012643_1532880_20251205_141005.afp
impresionNuevaFactura_C_90032372_2025FA00012874_1535413_20251205_141014.afp
impresionNuevaFactura_C_90033198_2025FA00012891_1535433_20251205_141017.afp
impresionNuevaFactura_C_90043847_2023FA00008653_1309170_20251205_141003.afp
impresionNuevaFactura_C_90043855_202500020476_1537214_20251210_152232.afp</t>
  </si>
  <si>
    <t>MEG-2625</t>
  </si>
  <si>
    <t>Impresión Factura - Conceptos Facturación - Categoría única</t>
  </si>
  <si>
    <t>Se valida que el formato del apartado Conceptos Facturación</t>
  </si>
  <si>
    <t>CASTELLANO
solfac B 00004484 2025FA00012808.pdf
solfac C 90023950 2025FA00012831.pdf
solfac D 90031924 2025FA00012643.pdf
solfac H 90043855 2025FA00020476.pdf</t>
  </si>
  <si>
    <t xml:space="preserve">CASTELLANO:
2025FA00012808_25121516512222.pdf
2025FA00012831_25121516512828.pdf
2025FA00012643_25121516511010.pdf
202500020476_25121516544444.pdf
</t>
  </si>
  <si>
    <t>impresionNuevaFactura_C_00004484_2025FA00012808_1535228_20251205_141010.afp
impresionNuevaFactura_C_90023950_2025FA00012831_1535284_20251205_141011.afp
impresionNuevaFactura_C_90031924_2025FA00012643_1532880_20251205_141005.afp
impresionNuevaFactura_C_90043855_202500020476_1537214_20251210_152232.afp</t>
  </si>
  <si>
    <t>MEG-2626</t>
  </si>
  <si>
    <t>Impresión Factura - Conceptos Facturación - Categoría única + Lista promociones</t>
  </si>
  <si>
    <t xml:space="preserve">CASTELLANO
solfac A 00004444 2025FA00012807.pdf
solfac F 90033198 2025FA00012891.pdf
</t>
  </si>
  <si>
    <t xml:space="preserve">CASTELLANO:
2025FA00012807_25121516511616.pdf
2025FA00012891_25121516514141.pdf
</t>
  </si>
  <si>
    <t xml:space="preserve">impresionNuevaFactura_C_00004444_2025FA00012807_1535227_20251205_141008.afp
impresionNuevaFactura_C_90033198_2025FA00012891_1535433_20251205_141017.afp
</t>
  </si>
  <si>
    <t>MEG-2627</t>
  </si>
  <si>
    <t>Impresión Factura - Conceptos Facturación - Varias Categorías</t>
  </si>
  <si>
    <t xml:space="preserve">CASTELLANO
solfac E 90032372 2025FA00012874.pdf
solfac F 90033198 2025FA00012891.pdf
</t>
  </si>
  <si>
    <t xml:space="preserve">CASTELLANO:
2025FA00012874_25121516513434.pdf
2025FA00012891_25121516514141.pdf
</t>
  </si>
  <si>
    <t xml:space="preserve">impresionNuevaFactura_C_90032372_2025FA00012874_1535413_20251205_141014.afp
impresionNuevaFactura_C_90033198_2025FA00012891_1535433_20251205_141017.afp
</t>
  </si>
  <si>
    <t>MEG-2628</t>
  </si>
  <si>
    <t>Impresión Factura - Notas Conceptos Facturación</t>
  </si>
  <si>
    <t>Se valida que el formato del apartado Notas Conceptos Facturación</t>
  </si>
  <si>
    <t xml:space="preserve">CASTELLANO
solfac G 90043847 2023FA00008653.pdf
</t>
  </si>
  <si>
    <t xml:space="preserve">CASTELLANO:
2023FA00008653_25121516510303.pdf
</t>
  </si>
  <si>
    <t>impresionNuevaFactura_C_90043847_2023FA00008653_1309170_20251205_141003.afp</t>
  </si>
  <si>
    <t>MEG-2630</t>
  </si>
  <si>
    <t>Impresión Factura - Datos planes de pago</t>
  </si>
  <si>
    <t>Se valida que el formato del apartado Datos planes de pago</t>
  </si>
  <si>
    <t xml:space="preserve">CASTELLANO
solfac A 00004444 2025FA00012807.pdf
</t>
  </si>
  <si>
    <t xml:space="preserve">CASTELLANO:
2025FA00012807_25121516511616.pdf
</t>
  </si>
  <si>
    <t>impresionNuevaFactura_C_00004444_2025FA00012807_1535227_20251205_141008.afp</t>
  </si>
  <si>
    <t>MEG-2631</t>
  </si>
  <si>
    <t>Impresión Factura - Resultado final</t>
  </si>
  <si>
    <t>Se valida que el formato del apartado Resultado final</t>
  </si>
  <si>
    <t>CASTELLANO
solfac A 00004444 2025FA00012807.pdf
solfac E 90032372 2025FA00012874.pdf</t>
  </si>
  <si>
    <t>CASTELLANO:
2025FA00012807_25121516511616.pdf
2025FA00012874_25121516513434.pdf</t>
  </si>
  <si>
    <t xml:space="preserve">impresionNuevaFactura_C_00004444_2025FA00012807_1535227_20251205_141008.afp
impresionNuevaFactura_C_90032372_2025FA00012874_1535413_20251205_141014.afp
</t>
  </si>
  <si>
    <t>MEG-2632</t>
  </si>
  <si>
    <t>Impresión Factura - Consumos Regularización</t>
  </si>
  <si>
    <t>Se valida que el formato del apartado Consumos Regularización</t>
  </si>
  <si>
    <t>MEG-2633</t>
  </si>
  <si>
    <t>Impresión Factura - Consumos Contador</t>
  </si>
  <si>
    <t>Se valida que el formato del apartado Consumos Contador</t>
  </si>
  <si>
    <t xml:space="preserve">CASTELLANO
solfac A 00004444 2025FA00012807.pdf
solfac B 00004484 2025FA00012808.pdf
solfac C 90023950 2025FA00012831.pdf
solfac E 90032372 2025FA00012874.pdf
solfac G 90043847 2023FA00008653.pdf
</t>
  </si>
  <si>
    <t xml:space="preserve">CASTELLANO:
2025FA00012807_25121516511616.pdf
2025FA00012808_25121516512222.pdf
2025FA00012831_25121516512828.pdf
2025FA00012874_25121516513434.pdf
2023FA00008653_25121516510303.pdf
</t>
  </si>
  <si>
    <t xml:space="preserve">impresionNuevaFactura_C_00004444_2025FA00012807_1535227_20251205_141008.afp
impresionNuevaFactura_C_00004484_2025FA00012808_1535228_20251205_141010.afp
impresionNuevaFactura_C_90023950_2025FA00012831_1535284_20251205_141011.afp
impresionNuevaFactura_C_90032372_2025FA00012874_1535413_20251205_141014.afp
impresionNuevaFactura_C_90043847_2023FA00008653_1309170_20251205_141003.afp
</t>
  </si>
  <si>
    <t>MEG-2634</t>
  </si>
  <si>
    <t>Impresión Factura - Consumos GNL</t>
  </si>
  <si>
    <t>Se valida que el formato del apartado Consumos GNL</t>
  </si>
  <si>
    <t xml:space="preserve">CASTELLANO
solfac D 90031924 2025FA00012643.pdf
</t>
  </si>
  <si>
    <t xml:space="preserve">CASTELLANO:
2025FA00012643_25121516511010.pdf
</t>
  </si>
  <si>
    <t>impresionNuevaFactura_C_90031924_2025FA00012643_1532880_20251205_141005.afp</t>
  </si>
  <si>
    <t>MEG-2635</t>
  </si>
  <si>
    <t>Impresión Factura - Consumos GNV</t>
  </si>
  <si>
    <t>Se valida que el formato del apartado Consumos GNV</t>
  </si>
  <si>
    <t>CASTELLANO
solfac H 90043855 2025FA00020476.pdf</t>
  </si>
  <si>
    <t xml:space="preserve">CASTELLANO:
202500020476_25121516544444.pdf
</t>
  </si>
  <si>
    <t>impresionNuevaFactura_C_90043855_202500020476_1537214_20251210_152232.afp</t>
  </si>
  <si>
    <t>MEG-2636</t>
  </si>
  <si>
    <t>Impresión Factura - Facturas Anteriores</t>
  </si>
  <si>
    <t>Se valida que el formato del apartado Facturas Anteriores</t>
  </si>
  <si>
    <t>CASTELLANO
solfac B 00004484 2025FA00012808.pdf
solfac C 90023950 2025FA00012831.pdf
solfac G 90043847 2023FA00008653.pdf</t>
  </si>
  <si>
    <t>CASTELLANO:
2025FA00012808_25121516512222.pdf
2025FA00012831_25121516512828.pdf
2023FA00008653_25121516510303.pdf</t>
  </si>
  <si>
    <t>impresionNuevaFactura_C_00004484_2025FA00012808_1535228_20251205_141010.afp
impresionNuevaFactura_C_90023950_2025FA00012831_1535284_20251205_141011.afp
impresionNuevaFactura_C_90043847_2023FA00008653_1309170_20251205_141003.afp</t>
  </si>
  <si>
    <t>MEG-2638</t>
  </si>
  <si>
    <t>Impresión Factura - Cuadros explicativos</t>
  </si>
  <si>
    <t>Se valida que el formato del apartado Cuadros explicativos</t>
  </si>
  <si>
    <t>CASTELLANO
solfac A 00004444 2025FA00012807.pdf
solfac C 90023950 2025FA00012831.pdf
solfac E 90032372 2025FA00012874.pdf</t>
  </si>
  <si>
    <t xml:space="preserve">CASTELLANO:
2025FA00012807_25121516511616.pdf
2025FA00012831_25121516512828.pdf
2025FA00012874_25121516513434.pdf
</t>
  </si>
  <si>
    <t>impresionNuevaFactura_C_00004444_2025FA00012807_1535227_20251205_141008.afp
impresionNuevaFactura_C_90023950_2025FA00012831_1535284_20251205_141011.afp
impresionNuevaFactura_C_90032372_2025FA00012874_1535413_20251205_141014.afp</t>
  </si>
  <si>
    <t>MEG-2639</t>
  </si>
  <si>
    <t>Impresión Factura - Banners</t>
  </si>
  <si>
    <t>Se valida que el formato del apartado Banners</t>
  </si>
  <si>
    <t>MEG-2650</t>
  </si>
  <si>
    <t>Impresión Factura - Histórico de consumos</t>
  </si>
  <si>
    <t>Se valida que el formato del apartado Histórico de consumos</t>
  </si>
  <si>
    <t>CASTELLANO
solfac A 00004444 2025FA00012807.pdf
solfac B 00004484 2025FA00012808.pdf
solfac C 90023950 2025FA00012831.pdf
solfac D 90031924 2025FA00012643.pdf
solfac E 90032372 2025FA00012874.pdf
solfac G 90043847 2023FA00008653.pdf
solfac H 90043855 2025FA00020476.pdf</t>
  </si>
  <si>
    <t>CASTELLANO:
2025FA00012807_25121516511616.pdf
2025FA00012808_25121516512222.pdf
2025FA00012831_25121516512828.pdf
2025FA00012643_25121516511010.pdf
2025FA00012874_25121516513434.pdf
2023FA00008653_25121516510303.pdf
202500020476_25121516544444.pdf</t>
  </si>
  <si>
    <t xml:space="preserve">impresionNuevaFactura_C_00004444_2025FA00012807_1535227_20251205_141008.afp
impresionNuevaFactura_C_00004484_2025FA00012808_1535228_20251205_141010.afp
impresionNuevaFactura_C_90023950_2025FA00012831_1535284_20251205_141011.afp
impresionNuevaFactura_C_90031924_2025FA00012643_1532880_20251205_141005.afp
impresionNuevaFactura_C_90032372_2025FA00012874_1535413_20251205_141014.afp
impresionNuevaFactura_C_90043847_2023FA00008653_1309170_20251205_141003.afp
impresionNuevaFactura_C_90043855_202500020476_1537214_20251210_152232.afp
</t>
  </si>
  <si>
    <t>Resultados</t>
  </si>
  <si>
    <t>Pdte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</si>
</sst>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sz val="11"/>
      <color theme="1"/>
      <name val="Calibri"/>
      <family val="2"/>
    </font>
    <font>
      <sz val="11"/>
      <color rgb="FF000000"/>
      <name val="Calibri"/>
      <family val="2"/>
      <scheme val="minor"/>
    </font>
    <font>
      <sz val="11"/>
      <name val="Calibri"/>
      <family val="2"/>
    </font>
    <font>
      <sz val="11"/>
      <color rgb="FF000000"/>
      <name val="Calibri"/>
      <family val="2"/>
    </font>
    <font>
      <b/>
      <sz val="11"/>
      <color theme="3" tint="-0.249977111117893"/>
      <name val="Arial"/>
      <family val="2"/>
      <charset val="134"/>
    </font>
    <font>
      <b/>
      <sz val="11"/>
      <color theme="3" tint="-0.249977111117893"/>
      <name val="Arial"/>
      <family val="2"/>
    </font>
    <font>
      <sz val="11"/>
      <color theme="3" tint="-0.249977111117893"/>
      <name val="Arial"/>
      <family val="2"/>
      <charset val="134"/>
    </font>
    <font>
      <sz val="11"/>
      <color theme="3" tint="-0.249977111117893"/>
      <name val="Calibri"/>
      <family val="2"/>
      <scheme val="minor"/>
    </font>
    <font>
      <sz val="10"/>
      <color theme="3" tint="-0.249977111117893"/>
      <name val="Arial"/>
      <family val="2"/>
    </font>
    <font>
      <b/>
      <sz val="11"/>
      <color rgb="FF003366"/>
      <name val="Calibri"/>
      <family val="2"/>
    </font>
    <font>
      <sz val="11"/>
      <color rgb="FF004165"/>
      <name val="Arial"/>
      <family val="2"/>
    </font>
    <font>
      <sz val="9"/>
      <color indexed="81"/>
      <name val="宋体"/>
      <charset val="134"/>
    </font>
    <font>
      <b/>
      <sz val="22"/>
      <color indexed="8"/>
      <name val="Arial"/>
      <family val="2"/>
    </font>
    <font>
      <b/>
      <sz val="11"/>
      <color indexed="8"/>
      <name val="Arial"/>
      <family val="2"/>
    </font>
    <font>
      <sz val="11"/>
      <color indexed="8"/>
      <name val="Arial"/>
      <family val="2"/>
    </font>
    <font>
      <b/>
      <sz val="11"/>
      <color rgb="FFFFFFFF"/>
      <name val="Calibri"/>
      <family val="2"/>
    </font>
    <font>
      <sz val="11"/>
      <color rgb="FF000000"/>
      <name val="Aptos Narrow"/>
      <family val="2"/>
    </font>
    <font>
      <sz val="11"/>
      <color rgb="FF000000"/>
      <name val="Arial"/>
      <family val="2"/>
    </font>
    <font>
      <sz val="10"/>
      <color theme="1"/>
      <name val="Calibri"/>
      <family val="2"/>
      <scheme val="minor"/>
    </font>
    <font>
      <sz val="11"/>
      <color rgb="FF000000"/>
      <name val="Calibri"/>
      <charset val="1"/>
    </font>
    <font>
      <sz val="12"/>
      <color rgb="FF000000"/>
      <name val="Arial"/>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theme="8" tint="-0.249977111117893"/>
        <bgColor indexed="64"/>
      </patternFill>
    </fill>
    <fill>
      <patternFill patternType="solid">
        <fgColor theme="3" tint="0.249977111117893"/>
        <bgColor indexed="64"/>
      </patternFill>
    </fill>
    <fill>
      <patternFill patternType="solid">
        <fgColor indexed="9"/>
        <bgColor indexed="64"/>
      </patternFill>
    </fill>
    <fill>
      <patternFill patternType="solid">
        <fgColor indexed="44"/>
        <bgColor indexed="64"/>
      </patternFill>
    </fill>
    <fill>
      <patternFill patternType="solid">
        <fgColor indexed="10"/>
        <bgColor indexed="8"/>
      </patternFill>
    </fill>
    <fill>
      <patternFill patternType="solid">
        <fgColor indexed="11"/>
        <bgColor indexed="8"/>
      </patternFill>
    </fill>
    <fill>
      <patternFill patternType="solid">
        <fgColor rgb="FFFFFFFF"/>
        <bgColor rgb="FF000000"/>
      </patternFill>
    </fill>
    <fill>
      <patternFill patternType="solid">
        <fgColor rgb="FF2F75B5"/>
        <bgColor rgb="FF000000"/>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C000"/>
        <bgColor rgb="FF000000"/>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56"/>
      </left>
      <right style="thin">
        <color indexed="56"/>
      </right>
      <top style="thin">
        <color indexed="56"/>
      </top>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8"/>
      </left>
      <right/>
      <top style="thin">
        <color indexed="8"/>
      </top>
      <bottom style="thin">
        <color indexed="8"/>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3F3F3F"/>
      </left>
      <right style="thin">
        <color rgb="FF3F3F3F"/>
      </right>
      <top style="thin">
        <color rgb="FF3F3F3F"/>
      </top>
      <bottom/>
      <diagonal/>
    </border>
    <border>
      <left style="thin">
        <color rgb="FF000000"/>
      </left>
      <right style="thin">
        <color rgb="FF000000"/>
      </right>
      <top/>
      <bottom/>
      <diagonal/>
    </border>
    <border>
      <left/>
      <right/>
      <top/>
      <bottom style="thin">
        <color rgb="FF000000"/>
      </bottom>
      <diagonal/>
    </border>
    <border>
      <left style="thin">
        <color rgb="FF000000"/>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4">
    <xf numFmtId="0" fontId="0" fillId="0" borderId="0" xfId="0"/>
    <xf numFmtId="0" fontId="13" fillId="33" borderId="11" xfId="0" applyFont="1" applyFill="1" applyBorder="1" applyAlignment="1">
      <alignment horizontal="left" vertical="center"/>
    </xf>
    <xf numFmtId="0" fontId="13" fillId="33" borderId="11" xfId="0" applyFont="1" applyFill="1" applyBorder="1" applyAlignment="1">
      <alignment vertical="center"/>
    </xf>
    <xf numFmtId="0" fontId="13" fillId="33" borderId="12" xfId="0" applyFont="1" applyFill="1" applyBorder="1" applyAlignment="1">
      <alignment vertical="center"/>
    </xf>
    <xf numFmtId="0" fontId="0" fillId="0" borderId="10" xfId="0" applyBorder="1" applyAlignment="1">
      <alignment horizontal="left" vertical="top"/>
    </xf>
    <xf numFmtId="0" fontId="0" fillId="34" borderId="10" xfId="0" applyFill="1" applyBorder="1"/>
    <xf numFmtId="0" fontId="18" fillId="0" borderId="10" xfId="0" quotePrefix="1" applyFont="1" applyBorder="1" applyAlignment="1">
      <alignment horizontal="left" vertical="top"/>
    </xf>
    <xf numFmtId="0" fontId="0" fillId="0" borderId="10" xfId="0" applyBorder="1" applyAlignment="1">
      <alignment vertical="center"/>
    </xf>
    <xf numFmtId="0" fontId="0" fillId="0" borderId="10" xfId="0" applyBorder="1" applyAlignment="1">
      <alignment vertical="center" wrapText="1"/>
    </xf>
    <xf numFmtId="0" fontId="0" fillId="0" borderId="10" xfId="0" applyBorder="1" applyAlignment="1">
      <alignment horizontal="left" vertical="top" wrapText="1"/>
    </xf>
    <xf numFmtId="0" fontId="13" fillId="33" borderId="11" xfId="0" applyFont="1" applyFill="1" applyBorder="1" applyAlignment="1">
      <alignment horizontal="left" vertical="center" wrapText="1"/>
    </xf>
    <xf numFmtId="0" fontId="13" fillId="33" borderId="11" xfId="0" applyFont="1" applyFill="1" applyBorder="1" applyAlignment="1">
      <alignment vertical="center" wrapText="1"/>
    </xf>
    <xf numFmtId="0" fontId="18" fillId="0" borderId="10" xfId="0" quotePrefix="1" applyFont="1" applyBorder="1" applyAlignment="1">
      <alignment horizontal="left" vertical="top" wrapText="1"/>
    </xf>
    <xf numFmtId="0" fontId="0" fillId="0" borderId="10" xfId="0" applyBorder="1"/>
    <xf numFmtId="0" fontId="13" fillId="35" borderId="10" xfId="0" applyFont="1" applyFill="1" applyBorder="1" applyAlignment="1">
      <alignment horizontal="center" vertical="top" wrapText="1"/>
    </xf>
    <xf numFmtId="0" fontId="0" fillId="0" borderId="0" xfId="0" applyAlignment="1">
      <alignment vertical="top" wrapText="1"/>
    </xf>
    <xf numFmtId="0" fontId="21" fillId="0" borderId="10" xfId="0" applyFont="1" applyBorder="1" applyAlignment="1">
      <alignment horizontal="left" vertical="top" wrapText="1"/>
    </xf>
    <xf numFmtId="0" fontId="0" fillId="0" borderId="10" xfId="0" applyBorder="1" applyAlignment="1">
      <alignment vertical="top" wrapText="1"/>
    </xf>
    <xf numFmtId="0" fontId="21" fillId="0" borderId="10" xfId="0" applyFont="1" applyBorder="1" applyAlignment="1">
      <alignment vertical="top"/>
    </xf>
    <xf numFmtId="0" fontId="18" fillId="0" borderId="10" xfId="0" applyFont="1" applyBorder="1" applyAlignment="1">
      <alignment horizontal="left" vertical="center" wrapText="1"/>
    </xf>
    <xf numFmtId="0" fontId="0" fillId="0" borderId="0" xfId="0" applyAlignment="1">
      <alignment vertical="top"/>
    </xf>
    <xf numFmtId="0" fontId="13" fillId="33" borderId="10" xfId="0" applyFont="1" applyFill="1" applyBorder="1" applyAlignment="1">
      <alignment vertical="center" wrapText="1"/>
    </xf>
    <xf numFmtId="0" fontId="13" fillId="33" borderId="10" xfId="0" applyFont="1" applyFill="1" applyBorder="1" applyAlignment="1">
      <alignment vertical="center"/>
    </xf>
    <xf numFmtId="0" fontId="13" fillId="36" borderId="10" xfId="0" applyFont="1" applyFill="1" applyBorder="1" applyAlignment="1">
      <alignment horizontal="center" vertical="top" wrapText="1"/>
    </xf>
    <xf numFmtId="0" fontId="20" fillId="0" borderId="0" xfId="0" applyFont="1" applyAlignment="1">
      <alignment vertical="top" wrapText="1"/>
    </xf>
    <xf numFmtId="0" fontId="23" fillId="0" borderId="10" xfId="0" applyFont="1" applyBorder="1" applyAlignment="1">
      <alignment horizontal="left" vertical="top" wrapText="1"/>
    </xf>
    <xf numFmtId="0" fontId="20" fillId="0" borderId="10" xfId="0" applyFont="1" applyBorder="1" applyAlignment="1">
      <alignment vertical="top" wrapText="1"/>
    </xf>
    <xf numFmtId="0" fontId="23" fillId="0" borderId="10" xfId="0" applyFont="1" applyBorder="1" applyAlignment="1">
      <alignment vertical="top"/>
    </xf>
    <xf numFmtId="0" fontId="22" fillId="0" borderId="10" xfId="0" applyFont="1" applyBorder="1" applyAlignment="1">
      <alignment horizontal="left" vertical="top" wrapText="1"/>
    </xf>
    <xf numFmtId="0" fontId="22" fillId="0" borderId="10" xfId="0" applyFont="1" applyBorder="1" applyAlignment="1">
      <alignment horizontal="left" vertical="center" wrapText="1"/>
    </xf>
    <xf numFmtId="0" fontId="20" fillId="0" borderId="0" xfId="0" applyFont="1"/>
    <xf numFmtId="0" fontId="24" fillId="37" borderId="13" xfId="0" applyFont="1" applyFill="1" applyBorder="1" applyAlignment="1">
      <alignment horizontal="left" vertical="center"/>
    </xf>
    <xf numFmtId="0" fontId="24" fillId="38" borderId="13" xfId="0" applyFont="1" applyFill="1" applyBorder="1" applyAlignment="1">
      <alignment horizontal="left" vertical="center"/>
    </xf>
    <xf numFmtId="0" fontId="25" fillId="37" borderId="13" xfId="0" applyFont="1" applyFill="1" applyBorder="1" applyAlignment="1">
      <alignment horizontal="left" vertical="center"/>
    </xf>
    <xf numFmtId="0" fontId="26" fillId="0" borderId="0" xfId="0" applyFont="1" applyAlignment="1">
      <alignment horizontal="left" vertical="center"/>
    </xf>
    <xf numFmtId="0" fontId="27" fillId="0" borderId="10" xfId="6" applyFont="1" applyFill="1" applyBorder="1" applyAlignment="1" applyProtection="1">
      <alignment horizontal="left" vertical="center" wrapText="1"/>
    </xf>
    <xf numFmtId="0" fontId="28" fillId="0" borderId="10" xfId="0" applyFont="1" applyBorder="1" applyAlignment="1">
      <alignment horizontal="left" vertical="center" wrapText="1"/>
    </xf>
    <xf numFmtId="0" fontId="27" fillId="0" borderId="10" xfId="6" applyFont="1" applyFill="1" applyBorder="1" applyAlignment="1">
      <alignment horizontal="left" vertical="center" wrapText="1"/>
    </xf>
    <xf numFmtId="0" fontId="29" fillId="0" borderId="10" xfId="0" applyFont="1" applyBorder="1" applyAlignment="1">
      <alignment vertical="center" wrapText="1"/>
    </xf>
    <xf numFmtId="0" fontId="27" fillId="0" borderId="0" xfId="6" applyFont="1" applyFill="1" applyBorder="1" applyAlignment="1">
      <alignment horizontal="left" vertical="center"/>
    </xf>
    <xf numFmtId="0" fontId="30" fillId="0" borderId="10" xfId="0" applyFont="1" applyBorder="1" applyAlignment="1">
      <alignment wrapText="1"/>
    </xf>
    <xf numFmtId="0" fontId="26" fillId="0" borderId="0" xfId="0" applyFont="1"/>
    <xf numFmtId="16" fontId="0" fillId="0" borderId="10" xfId="0" applyNumberFormat="1" applyBorder="1"/>
    <xf numFmtId="16" fontId="20" fillId="0" borderId="10" xfId="0" applyNumberFormat="1" applyFont="1" applyBorder="1" applyAlignment="1">
      <alignment vertical="top" wrapText="1"/>
    </xf>
    <xf numFmtId="16" fontId="0" fillId="0" borderId="10" xfId="0" applyNumberFormat="1" applyBorder="1" applyAlignment="1">
      <alignment horizontal="center" vertical="center"/>
    </xf>
    <xf numFmtId="0" fontId="0" fillId="0" borderId="10" xfId="0" applyBorder="1" applyAlignment="1">
      <alignment horizontal="left" vertical="center"/>
    </xf>
    <xf numFmtId="0" fontId="0" fillId="0" borderId="0" xfId="0" applyAlignment="1">
      <alignment horizontal="center" vertical="center"/>
    </xf>
    <xf numFmtId="16" fontId="0" fillId="0" borderId="10" xfId="0" applyNumberFormat="1" applyBorder="1" applyAlignment="1">
      <alignment vertical="center"/>
    </xf>
    <xf numFmtId="0" fontId="33" fillId="39" borderId="14" xfId="0" applyFont="1" applyFill="1" applyBorder="1" applyAlignment="1">
      <alignment horizontal="center" vertical="center" wrapText="1"/>
    </xf>
    <xf numFmtId="0" fontId="33" fillId="40" borderId="14" xfId="0" applyFont="1" applyFill="1" applyBorder="1" applyAlignment="1">
      <alignment horizontal="center" vertical="center" wrapText="1"/>
    </xf>
    <xf numFmtId="0" fontId="34" fillId="0" borderId="14" xfId="0" applyFont="1" applyBorder="1" applyAlignment="1">
      <alignment horizontal="left" vertical="center" wrapText="1"/>
    </xf>
    <xf numFmtId="0" fontId="20" fillId="0" borderId="16" xfId="0" applyFont="1" applyBorder="1"/>
    <xf numFmtId="0" fontId="0" fillId="0" borderId="16" xfId="0" applyBorder="1"/>
    <xf numFmtId="16" fontId="0" fillId="0" borderId="16" xfId="0" applyNumberFormat="1" applyBorder="1" applyAlignment="1">
      <alignment horizontal="center" vertical="center"/>
    </xf>
    <xf numFmtId="0" fontId="23" fillId="0" borderId="15" xfId="0" applyFont="1" applyBorder="1" applyAlignment="1">
      <alignment wrapText="1"/>
    </xf>
    <xf numFmtId="0" fontId="23" fillId="0" borderId="17" xfId="0" applyFont="1" applyBorder="1" applyAlignment="1">
      <alignment wrapText="1"/>
    </xf>
    <xf numFmtId="0" fontId="23" fillId="0" borderId="18" xfId="0" applyFont="1" applyBorder="1" applyAlignment="1">
      <alignment wrapText="1"/>
    </xf>
    <xf numFmtId="0" fontId="23" fillId="0" borderId="19" xfId="0" applyFont="1" applyBorder="1" applyAlignment="1">
      <alignment wrapText="1"/>
    </xf>
    <xf numFmtId="0" fontId="21" fillId="34" borderId="10" xfId="0" applyFont="1" applyFill="1" applyBorder="1" applyAlignment="1">
      <alignment horizontal="left" vertical="top" wrapText="1"/>
    </xf>
    <xf numFmtId="0" fontId="0" fillId="34" borderId="10" xfId="0" applyFill="1" applyBorder="1" applyAlignment="1">
      <alignment vertical="top" wrapText="1"/>
    </xf>
    <xf numFmtId="0" fontId="21" fillId="34" borderId="10" xfId="0" applyFont="1" applyFill="1" applyBorder="1" applyAlignment="1">
      <alignment vertical="top"/>
    </xf>
    <xf numFmtId="0" fontId="18" fillId="34" borderId="10" xfId="0" applyFont="1" applyFill="1" applyBorder="1" applyAlignment="1">
      <alignment horizontal="left" vertical="top" wrapText="1"/>
    </xf>
    <xf numFmtId="0" fontId="18" fillId="34" borderId="10" xfId="0" applyFont="1" applyFill="1" applyBorder="1" applyAlignment="1">
      <alignment horizontal="left" vertical="center" wrapText="1"/>
    </xf>
    <xf numFmtId="16" fontId="0" fillId="34" borderId="10" xfId="0" applyNumberFormat="1" applyFill="1" applyBorder="1" applyAlignment="1">
      <alignment horizontal="center" vertical="center" wrapText="1"/>
    </xf>
    <xf numFmtId="16" fontId="27" fillId="34" borderId="10" xfId="6" applyNumberFormat="1" applyFont="1" applyFill="1" applyBorder="1" applyAlignment="1">
      <alignment horizontal="center" vertical="center"/>
    </xf>
    <xf numFmtId="0" fontId="0" fillId="34" borderId="16" xfId="0" applyFill="1" applyBorder="1"/>
    <xf numFmtId="0" fontId="0" fillId="34" borderId="0" xfId="0" applyFill="1"/>
    <xf numFmtId="0" fontId="23" fillId="0" borderId="10" xfId="0" applyFont="1" applyBorder="1" applyAlignment="1">
      <alignment wrapText="1"/>
    </xf>
    <xf numFmtId="0" fontId="23" fillId="0" borderId="15" xfId="0" applyFont="1" applyBorder="1"/>
    <xf numFmtId="0" fontId="23" fillId="41" borderId="18" xfId="0" applyFont="1" applyFill="1" applyBorder="1"/>
    <xf numFmtId="0" fontId="35" fillId="42" borderId="25" xfId="0" applyFont="1" applyFill="1" applyBorder="1" applyAlignment="1">
      <alignment wrapText="1"/>
    </xf>
    <xf numFmtId="0" fontId="35" fillId="42" borderId="11" xfId="0" applyFont="1" applyFill="1" applyBorder="1"/>
    <xf numFmtId="0" fontId="35" fillId="42" borderId="25" xfId="0" applyFont="1" applyFill="1" applyBorder="1"/>
    <xf numFmtId="0" fontId="35" fillId="42" borderId="26" xfId="0" applyFont="1" applyFill="1" applyBorder="1"/>
    <xf numFmtId="0" fontId="23" fillId="0" borderId="20" xfId="0" applyFont="1" applyBorder="1" applyAlignment="1">
      <alignment wrapText="1"/>
    </xf>
    <xf numFmtId="0" fontId="22" fillId="0" borderId="20" xfId="0" applyFont="1" applyBorder="1" applyAlignment="1">
      <alignment wrapText="1"/>
    </xf>
    <xf numFmtId="0" fontId="23" fillId="0" borderId="20" xfId="0" applyFont="1" applyBorder="1"/>
    <xf numFmtId="16" fontId="23" fillId="0" borderId="20" xfId="0" applyNumberFormat="1" applyFont="1" applyBorder="1"/>
    <xf numFmtId="0" fontId="23" fillId="0" borderId="22" xfId="0" applyFont="1" applyBorder="1" applyAlignment="1">
      <alignment wrapText="1"/>
    </xf>
    <xf numFmtId="0" fontId="23" fillId="0" borderId="23" xfId="0" applyFont="1" applyBorder="1" applyAlignment="1">
      <alignment wrapText="1"/>
    </xf>
    <xf numFmtId="0" fontId="22" fillId="0" borderId="23" xfId="0" applyFont="1" applyBorder="1" applyAlignment="1">
      <alignment wrapText="1"/>
    </xf>
    <xf numFmtId="0" fontId="23" fillId="0" borderId="23" xfId="0" applyFont="1" applyBorder="1"/>
    <xf numFmtId="16" fontId="23" fillId="0" borderId="23" xfId="0" applyNumberFormat="1" applyFont="1" applyBorder="1"/>
    <xf numFmtId="0" fontId="23" fillId="0" borderId="12" xfId="0" applyFont="1" applyBorder="1" applyAlignment="1">
      <alignment wrapText="1"/>
    </xf>
    <xf numFmtId="0" fontId="23" fillId="0" borderId="26" xfId="0" applyFont="1" applyBorder="1" applyAlignment="1">
      <alignment wrapText="1"/>
    </xf>
    <xf numFmtId="0" fontId="23" fillId="0" borderId="26" xfId="0" applyFont="1" applyBorder="1"/>
    <xf numFmtId="16" fontId="23" fillId="0" borderId="26" xfId="0" applyNumberFormat="1" applyFont="1" applyBorder="1"/>
    <xf numFmtId="0" fontId="22" fillId="0" borderId="15" xfId="0" applyFont="1" applyBorder="1" applyAlignment="1">
      <alignment wrapText="1"/>
    </xf>
    <xf numFmtId="16" fontId="23" fillId="0" borderId="15" xfId="0" applyNumberFormat="1" applyFont="1" applyBorder="1"/>
    <xf numFmtId="0" fontId="22" fillId="0" borderId="26" xfId="0" applyFont="1" applyBorder="1" applyAlignment="1">
      <alignment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4" fillId="0" borderId="15" xfId="0" applyFont="1" applyBorder="1" applyAlignment="1">
      <alignment horizontal="left" vertical="center" wrapText="1"/>
    </xf>
    <xf numFmtId="0" fontId="34" fillId="0" borderId="27" xfId="0" applyFont="1" applyBorder="1" applyAlignment="1">
      <alignment horizontal="left" vertical="center" wrapText="1"/>
    </xf>
    <xf numFmtId="0" fontId="33" fillId="43" borderId="14" xfId="0" applyFont="1" applyFill="1" applyBorder="1" applyAlignment="1">
      <alignment horizontal="center" vertical="center" wrapText="1"/>
    </xf>
    <xf numFmtId="0" fontId="34" fillId="0" borderId="14" xfId="0" applyFont="1" applyBorder="1" applyAlignment="1">
      <alignment horizontal="left" vertical="top" wrapText="1"/>
    </xf>
    <xf numFmtId="0" fontId="37" fillId="0" borderId="15" xfId="0" applyFont="1" applyBorder="1" applyAlignment="1">
      <alignment vertical="center" wrapText="1"/>
    </xf>
    <xf numFmtId="0" fontId="37" fillId="0" borderId="17" xfId="0" applyFont="1" applyBorder="1" applyAlignment="1">
      <alignment vertical="center" wrapText="1"/>
    </xf>
    <xf numFmtId="0" fontId="0" fillId="34" borderId="10" xfId="0" applyFill="1" applyBorder="1" applyAlignment="1">
      <alignment vertical="center"/>
    </xf>
    <xf numFmtId="0" fontId="0" fillId="0" borderId="0" xfId="0" applyAlignment="1">
      <alignment vertical="center"/>
    </xf>
    <xf numFmtId="16" fontId="0" fillId="0" borderId="16" xfId="0" applyNumberFormat="1" applyBorder="1"/>
    <xf numFmtId="16" fontId="23" fillId="0" borderId="21" xfId="0" applyNumberFormat="1" applyFont="1" applyBorder="1"/>
    <xf numFmtId="16" fontId="23" fillId="0" borderId="24" xfId="0" applyNumberFormat="1" applyFont="1" applyBorder="1"/>
    <xf numFmtId="16" fontId="23" fillId="0" borderId="0" xfId="0" applyNumberFormat="1" applyFont="1"/>
    <xf numFmtId="16" fontId="23" fillId="0" borderId="28" xfId="0" applyNumberFormat="1" applyFont="1" applyBorder="1"/>
    <xf numFmtId="16" fontId="23" fillId="0" borderId="10" xfId="0" applyNumberFormat="1" applyFont="1" applyBorder="1"/>
    <xf numFmtId="16" fontId="20" fillId="0" borderId="16" xfId="0" applyNumberFormat="1" applyFont="1" applyBorder="1" applyAlignment="1">
      <alignment vertical="top" wrapText="1"/>
    </xf>
    <xf numFmtId="16" fontId="27" fillId="34" borderId="16" xfId="6" applyNumberFormat="1" applyFont="1" applyFill="1" applyBorder="1" applyAlignment="1">
      <alignment horizontal="center" vertical="center"/>
    </xf>
    <xf numFmtId="16" fontId="27" fillId="34" borderId="21" xfId="6" applyNumberFormat="1" applyFont="1" applyFill="1" applyBorder="1" applyAlignment="1">
      <alignment horizontal="center" vertical="center"/>
    </xf>
    <xf numFmtId="16" fontId="27" fillId="34" borderId="24" xfId="6" applyNumberFormat="1" applyFont="1" applyFill="1" applyBorder="1" applyAlignment="1">
      <alignment horizontal="center" vertical="center"/>
    </xf>
    <xf numFmtId="16" fontId="27" fillId="0" borderId="10" xfId="6" applyNumberFormat="1" applyFont="1" applyFill="1" applyBorder="1" applyAlignment="1">
      <alignment horizontal="left" vertical="center"/>
    </xf>
    <xf numFmtId="0" fontId="26" fillId="0" borderId="10" xfId="0" applyFont="1" applyBorder="1"/>
    <xf numFmtId="10" fontId="0" fillId="0" borderId="10" xfId="0" applyNumberFormat="1" applyBorder="1"/>
    <xf numFmtId="10" fontId="0" fillId="44" borderId="10" xfId="0" applyNumberFormat="1" applyFill="1" applyBorder="1"/>
    <xf numFmtId="0" fontId="0" fillId="44" borderId="10" xfId="0" applyFill="1" applyBorder="1"/>
    <xf numFmtId="0" fontId="10" fillId="6" borderId="30" xfId="10" applyBorder="1" applyAlignment="1">
      <alignment horizontal="center"/>
    </xf>
    <xf numFmtId="0" fontId="0" fillId="0" borderId="10" xfId="0" applyBorder="1" applyAlignment="1">
      <alignment horizontal="center"/>
    </xf>
    <xf numFmtId="0" fontId="23" fillId="41" borderId="18" xfId="0" applyFont="1" applyFill="1" applyBorder="1" applyAlignment="1">
      <alignment vertical="center" wrapText="1"/>
    </xf>
    <xf numFmtId="0" fontId="23" fillId="41" borderId="19" xfId="0" applyFont="1" applyFill="1" applyBorder="1" applyAlignment="1">
      <alignment vertical="center" wrapText="1"/>
    </xf>
    <xf numFmtId="0" fontId="23" fillId="41" borderId="18" xfId="0" applyFont="1" applyFill="1" applyBorder="1" applyAlignment="1">
      <alignment vertical="center"/>
    </xf>
    <xf numFmtId="0" fontId="23" fillId="41" borderId="19" xfId="0" applyFont="1" applyFill="1" applyBorder="1" applyAlignment="1">
      <alignment vertical="center"/>
    </xf>
    <xf numFmtId="0" fontId="0" fillId="34" borderId="10" xfId="0" applyFill="1" applyBorder="1" applyAlignment="1">
      <alignment vertical="top"/>
    </xf>
    <xf numFmtId="0" fontId="18" fillId="34" borderId="10" xfId="0" applyFont="1" applyFill="1" applyBorder="1" applyAlignment="1">
      <alignment horizontal="left" vertical="top"/>
    </xf>
    <xf numFmtId="0" fontId="18" fillId="34" borderId="10" xfId="0" applyFont="1" applyFill="1" applyBorder="1" applyAlignment="1">
      <alignment horizontal="left" vertical="center"/>
    </xf>
    <xf numFmtId="0" fontId="22" fillId="34" borderId="10" xfId="0" applyFont="1" applyFill="1" applyBorder="1" applyAlignment="1">
      <alignment vertical="top"/>
    </xf>
    <xf numFmtId="16" fontId="0" fillId="34" borderId="10" xfId="0" applyNumberFormat="1" applyFill="1" applyBorder="1" applyAlignment="1">
      <alignment horizontal="center" vertical="center"/>
    </xf>
    <xf numFmtId="0" fontId="0" fillId="34" borderId="10" xfId="0" applyFill="1" applyBorder="1" applyAlignment="1">
      <alignment vertical="center" wrapText="1"/>
    </xf>
    <xf numFmtId="0" fontId="0" fillId="0" borderId="10" xfId="0" applyBorder="1" applyAlignment="1">
      <alignment vertical="top"/>
    </xf>
    <xf numFmtId="0" fontId="0" fillId="0" borderId="17" xfId="0" applyBorder="1" applyAlignment="1">
      <alignment vertical="top" wrapText="1"/>
    </xf>
    <xf numFmtId="0" fontId="0" fillId="0" borderId="15" xfId="0" applyBorder="1" applyAlignment="1">
      <alignment vertical="top" wrapText="1"/>
    </xf>
    <xf numFmtId="0" fontId="0" fillId="0" borderId="15" xfId="0" applyBorder="1" applyAlignment="1">
      <alignment vertical="top"/>
    </xf>
    <xf numFmtId="0" fontId="13" fillId="33" borderId="11" xfId="0" applyFont="1" applyFill="1" applyBorder="1" applyAlignment="1">
      <alignment vertical="top"/>
    </xf>
    <xf numFmtId="0" fontId="20" fillId="0" borderId="15" xfId="0" applyFont="1" applyBorder="1" applyAlignment="1">
      <alignment vertical="top"/>
    </xf>
    <xf numFmtId="0" fontId="23" fillId="0" borderId="15" xfId="0" applyFont="1" applyBorder="1" applyAlignment="1">
      <alignment vertical="top"/>
    </xf>
    <xf numFmtId="0" fontId="23" fillId="0" borderId="17" xfId="0" applyFont="1" applyBorder="1" applyAlignment="1">
      <alignment vertical="top"/>
    </xf>
    <xf numFmtId="0" fontId="20" fillId="0" borderId="15" xfId="0" applyFont="1" applyBorder="1" applyAlignment="1">
      <alignment vertical="top" wrapText="1"/>
    </xf>
    <xf numFmtId="0" fontId="0" fillId="44" borderId="10" xfId="0" applyFill="1" applyBorder="1" applyAlignment="1">
      <alignment vertical="top"/>
    </xf>
    <xf numFmtId="0" fontId="20" fillId="0" borderId="0" xfId="0" applyFont="1" applyAlignment="1">
      <alignment vertical="top"/>
    </xf>
    <xf numFmtId="0" fontId="0" fillId="44" borderId="22" xfId="0" applyFill="1" applyBorder="1"/>
    <xf numFmtId="0" fontId="38" fillId="0" borderId="10" xfId="0" applyFont="1" applyBorder="1" applyAlignment="1">
      <alignment vertical="center"/>
    </xf>
    <xf numFmtId="0" fontId="22" fillId="0" borderId="20" xfId="0" applyFont="1" applyBorder="1" applyAlignment="1">
      <alignment horizontal="left" vertical="top" wrapText="1"/>
    </xf>
    <xf numFmtId="0" fontId="20" fillId="0" borderId="22" xfId="0" applyFont="1" applyBorder="1" applyAlignment="1">
      <alignment horizontal="left" vertical="top" wrapText="1"/>
    </xf>
    <xf numFmtId="0" fontId="20" fillId="0" borderId="23" xfId="0" applyFont="1" applyBorder="1" applyAlignment="1">
      <alignment horizontal="left" vertical="top" wrapText="1"/>
    </xf>
    <xf numFmtId="0" fontId="20" fillId="0" borderId="22" xfId="0" applyFont="1" applyBorder="1" applyAlignment="1">
      <alignment horizontal="left" vertical="top"/>
    </xf>
    <xf numFmtId="0" fontId="20" fillId="0" borderId="23" xfId="0" applyFont="1" applyBorder="1" applyAlignment="1">
      <alignment horizontal="left" vertical="top"/>
    </xf>
    <xf numFmtId="0" fontId="23" fillId="0" borderId="20" xfId="0" applyFont="1" applyBorder="1" applyAlignment="1">
      <alignment horizontal="left" vertical="top" wrapText="1"/>
    </xf>
    <xf numFmtId="0" fontId="23" fillId="0" borderId="11" xfId="0" applyFont="1" applyBorder="1" applyAlignment="1">
      <alignment horizontal="left" vertical="top" wrapText="1"/>
    </xf>
    <xf numFmtId="0" fontId="23" fillId="0" borderId="25" xfId="0" applyFont="1" applyBorder="1" applyAlignment="1">
      <alignment horizontal="left" vertical="top" wrapText="1"/>
    </xf>
    <xf numFmtId="0" fontId="23" fillId="0" borderId="15" xfId="0" applyFont="1" applyBorder="1" applyAlignment="1">
      <alignment vertical="top" wrapText="1"/>
    </xf>
    <xf numFmtId="0" fontId="23" fillId="0" borderId="18" xfId="0" applyFont="1" applyBorder="1" applyAlignment="1">
      <alignment vertical="top"/>
    </xf>
    <xf numFmtId="0" fontId="23" fillId="0" borderId="19" xfId="0" applyFont="1" applyBorder="1" applyAlignment="1">
      <alignment vertical="top"/>
    </xf>
    <xf numFmtId="0" fontId="23" fillId="0" borderId="18" xfId="0" applyFont="1" applyBorder="1" applyAlignment="1">
      <alignment vertical="top" wrapText="1"/>
    </xf>
    <xf numFmtId="0" fontId="23" fillId="0" borderId="19" xfId="0" applyFont="1" applyBorder="1" applyAlignment="1">
      <alignment vertical="top" wrapText="1"/>
    </xf>
    <xf numFmtId="0" fontId="23" fillId="0" borderId="10" xfId="0" applyFont="1" applyBorder="1" applyAlignment="1">
      <alignment vertical="top" wrapText="1"/>
    </xf>
    <xf numFmtId="0" fontId="23" fillId="0" borderId="0" xfId="0" applyFont="1" applyAlignment="1">
      <alignment vertical="top" wrapText="1"/>
    </xf>
    <xf numFmtId="0" fontId="13" fillId="33" borderId="12" xfId="0" applyFont="1" applyFill="1" applyBorder="1" applyAlignment="1">
      <alignment horizontal="center" vertical="center"/>
    </xf>
    <xf numFmtId="0" fontId="0" fillId="0" borderId="10" xfId="0" applyBorder="1" applyAlignment="1">
      <alignment horizontal="center" vertical="center"/>
    </xf>
    <xf numFmtId="10" fontId="0" fillId="44" borderId="10" xfId="0" applyNumberFormat="1" applyFill="1" applyBorder="1" applyAlignment="1">
      <alignment horizontal="center" vertical="center"/>
    </xf>
    <xf numFmtId="0" fontId="23" fillId="41" borderId="15" xfId="0" applyFont="1" applyFill="1" applyBorder="1" applyAlignment="1">
      <alignment vertical="center" wrapText="1"/>
    </xf>
    <xf numFmtId="0" fontId="23" fillId="41" borderId="17" xfId="0" applyFont="1" applyFill="1" applyBorder="1" applyAlignment="1">
      <alignment vertical="center" wrapText="1"/>
    </xf>
    <xf numFmtId="0" fontId="23" fillId="41" borderId="31" xfId="0" applyFont="1" applyFill="1" applyBorder="1" applyAlignment="1">
      <alignment vertical="center" wrapText="1"/>
    </xf>
    <xf numFmtId="0" fontId="23" fillId="41" borderId="29" xfId="0" applyFont="1" applyFill="1" applyBorder="1" applyAlignment="1">
      <alignment vertical="center" wrapText="1"/>
    </xf>
    <xf numFmtId="0" fontId="23" fillId="41" borderId="10" xfId="0" applyFont="1" applyFill="1" applyBorder="1" applyAlignment="1">
      <alignment vertical="center" wrapText="1"/>
    </xf>
    <xf numFmtId="0" fontId="23" fillId="41" borderId="33" xfId="0" applyFont="1" applyFill="1" applyBorder="1"/>
    <xf numFmtId="0" fontId="0" fillId="44" borderId="22" xfId="0" applyFill="1" applyBorder="1" applyAlignment="1">
      <alignment vertical="center"/>
    </xf>
    <xf numFmtId="0" fontId="23" fillId="41" borderId="10" xfId="0" applyFont="1" applyFill="1" applyBorder="1" applyAlignment="1">
      <alignment vertical="center"/>
    </xf>
    <xf numFmtId="0" fontId="23" fillId="0" borderId="32" xfId="0" applyFont="1" applyBorder="1" applyAlignment="1">
      <alignment vertical="top"/>
    </xf>
    <xf numFmtId="0" fontId="39" fillId="0" borderId="32" xfId="0" applyFont="1" applyBorder="1" applyAlignment="1">
      <alignment vertical="top"/>
    </xf>
    <xf numFmtId="16" fontId="0" fillId="34" borderId="10" xfId="0" applyNumberFormat="1" applyFill="1" applyBorder="1" applyAlignment="1">
      <alignment horizontal="center" vertical="top"/>
    </xf>
    <xf numFmtId="0" fontId="23" fillId="41" borderId="18" xfId="0" applyFont="1" applyFill="1" applyBorder="1" applyAlignment="1">
      <alignment vertical="top"/>
    </xf>
    <xf numFmtId="0" fontId="23" fillId="41" borderId="19" xfId="0" applyFont="1" applyFill="1" applyBorder="1" applyAlignment="1">
      <alignment vertical="top"/>
    </xf>
    <xf numFmtId="0" fontId="23" fillId="0" borderId="10" xfId="0" applyFont="1" applyBorder="1" applyAlignment="1">
      <alignment vertical="center" wrapText="1"/>
    </xf>
    <xf numFmtId="0" fontId="23" fillId="34" borderId="10" xfId="0" applyFont="1" applyFill="1" applyBorder="1" applyAlignment="1">
      <alignment vertical="top" wrapText="1"/>
    </xf>
    <xf numFmtId="0" fontId="23" fillId="34" borderId="20" xfId="0" applyFont="1" applyFill="1" applyBorder="1" applyAlignment="1">
      <alignment vertical="top" wrapText="1"/>
    </xf>
    <xf numFmtId="0" fontId="23" fillId="34" borderId="20" xfId="0" applyFont="1" applyFill="1" applyBorder="1" applyAlignment="1">
      <alignment vertical="top"/>
    </xf>
    <xf numFmtId="0" fontId="22" fillId="34" borderId="20" xfId="0" applyFont="1" applyFill="1" applyBorder="1" applyAlignment="1">
      <alignment vertical="top" wrapText="1"/>
    </xf>
    <xf numFmtId="0" fontId="22" fillId="34" borderId="20" xfId="0" applyFont="1" applyFill="1" applyBorder="1" applyAlignment="1">
      <alignment wrapText="1"/>
    </xf>
    <xf numFmtId="0" fontId="23" fillId="34" borderId="20" xfId="0" applyFont="1" applyFill="1" applyBorder="1" applyAlignment="1">
      <alignment vertical="center" wrapText="1"/>
    </xf>
    <xf numFmtId="0" fontId="23" fillId="34" borderId="10" xfId="0" applyFont="1" applyFill="1" applyBorder="1"/>
    <xf numFmtId="0" fontId="23" fillId="34" borderId="22" xfId="0" applyFont="1" applyFill="1" applyBorder="1" applyAlignment="1">
      <alignment vertical="top" wrapText="1"/>
    </xf>
    <xf numFmtId="0" fontId="23" fillId="34" borderId="23" xfId="0" applyFont="1" applyFill="1" applyBorder="1" applyAlignment="1">
      <alignment vertical="top" wrapText="1"/>
    </xf>
    <xf numFmtId="0" fontId="23" fillId="34" borderId="23" xfId="0" applyFont="1" applyFill="1" applyBorder="1" applyAlignment="1">
      <alignment vertical="top"/>
    </xf>
    <xf numFmtId="0" fontId="22" fillId="34" borderId="23" xfId="0" applyFont="1" applyFill="1" applyBorder="1" applyAlignment="1">
      <alignment vertical="top" wrapText="1"/>
    </xf>
    <xf numFmtId="0" fontId="22" fillId="34" borderId="23" xfId="0" applyFont="1" applyFill="1" applyBorder="1" applyAlignment="1">
      <alignment wrapText="1"/>
    </xf>
    <xf numFmtId="0" fontId="23" fillId="34" borderId="23" xfId="0" applyFont="1" applyFill="1" applyBorder="1" applyAlignment="1">
      <alignment vertical="center" wrapText="1"/>
    </xf>
    <xf numFmtId="0" fontId="23" fillId="34" borderId="23" xfId="0" applyFont="1" applyFill="1" applyBorder="1"/>
    <xf numFmtId="0" fontId="23" fillId="0" borderId="15" xfId="0" applyFont="1" applyBorder="1" applyAlignment="1">
      <alignment vertical="center" wrapText="1"/>
    </xf>
    <xf numFmtId="0" fontId="23" fillId="34" borderId="10" xfId="0" applyFont="1" applyFill="1" applyBorder="1" applyAlignment="1">
      <alignment wrapText="1"/>
    </xf>
    <xf numFmtId="0" fontId="23" fillId="34" borderId="20" xfId="0" applyFont="1" applyFill="1" applyBorder="1" applyAlignment="1">
      <alignment wrapText="1"/>
    </xf>
    <xf numFmtId="0" fontId="23" fillId="34" borderId="22" xfId="0" applyFont="1" applyFill="1" applyBorder="1" applyAlignment="1">
      <alignment wrapText="1"/>
    </xf>
    <xf numFmtId="0" fontId="23" fillId="34" borderId="23" xfId="0" applyFont="1" applyFill="1" applyBorder="1" applyAlignment="1">
      <alignment wrapText="1"/>
    </xf>
    <xf numFmtId="0" fontId="23" fillId="0" borderId="10" xfId="0" applyFont="1" applyBorder="1" applyAlignment="1">
      <alignment horizontal="left" vertical="center" wrapText="1"/>
    </xf>
    <xf numFmtId="0" fontId="20" fillId="0" borderId="10" xfId="0" applyFont="1" applyBorder="1" applyAlignment="1">
      <alignment horizontal="left" vertical="top" wrapText="1"/>
    </xf>
    <xf numFmtId="0" fontId="20" fillId="0" borderId="20" xfId="0" applyFont="1" applyBorder="1" applyAlignment="1">
      <alignment horizontal="left" vertical="top" wrapText="1"/>
    </xf>
    <xf numFmtId="0" fontId="23" fillId="0" borderId="22" xfId="0" applyFont="1" applyBorder="1" applyAlignment="1">
      <alignment horizontal="left" vertical="top"/>
    </xf>
    <xf numFmtId="0" fontId="23" fillId="0" borderId="23" xfId="0" applyFont="1" applyBorder="1" applyAlignment="1">
      <alignment horizontal="left" vertical="top"/>
    </xf>
    <xf numFmtId="0" fontId="22" fillId="0" borderId="23" xfId="0" applyFont="1" applyBorder="1" applyAlignment="1">
      <alignment horizontal="left" vertical="top"/>
    </xf>
    <xf numFmtId="0" fontId="23" fillId="0" borderId="15" xfId="0" applyFont="1" applyBorder="1" applyAlignment="1">
      <alignment horizontal="left" vertical="top"/>
    </xf>
    <xf numFmtId="0" fontId="23" fillId="0" borderId="23" xfId="0" applyFont="1" applyBorder="1" applyAlignment="1">
      <alignment horizontal="left" vertical="top" wrapText="1"/>
    </xf>
    <xf numFmtId="16" fontId="23" fillId="0" borderId="23" xfId="0" applyNumberFormat="1" applyFont="1" applyBorder="1" applyAlignment="1">
      <alignment horizontal="left" vertical="top"/>
    </xf>
    <xf numFmtId="0" fontId="23" fillId="0" borderId="22" xfId="0" applyFont="1" applyBorder="1" applyAlignment="1">
      <alignment horizontal="left" vertical="top" wrapText="1"/>
    </xf>
    <xf numFmtId="16" fontId="0" fillId="34" borderId="16" xfId="0" applyNumberFormat="1" applyFill="1" applyBorder="1" applyAlignment="1">
      <alignment horizontal="center"/>
    </xf>
    <xf numFmtId="0" fontId="0" fillId="34" borderId="16" xfId="0" applyFill="1" applyBorder="1" applyAlignment="1">
      <alignment horizontal="center" vertical="top"/>
    </xf>
    <xf numFmtId="0" fontId="0" fillId="0" borderId="0" xfId="0" applyAlignment="1">
      <alignment horizontal="center"/>
    </xf>
    <xf numFmtId="0" fontId="34" fillId="0" borderId="0" xfId="0" applyFont="1" applyAlignment="1">
      <alignment horizontal="left" vertical="center" wrapText="1"/>
    </xf>
    <xf numFmtId="0" fontId="37" fillId="0" borderId="15" xfId="0" applyFont="1" applyBorder="1" applyAlignment="1">
      <alignment wrapText="1"/>
    </xf>
    <xf numFmtId="0" fontId="37" fillId="45" borderId="18" xfId="0" applyFont="1" applyFill="1" applyBorder="1" applyAlignment="1">
      <alignment wrapText="1"/>
    </xf>
    <xf numFmtId="0" fontId="37" fillId="0" borderId="18" xfId="0" applyFont="1" applyBorder="1" applyAlignment="1">
      <alignment wrapText="1"/>
    </xf>
    <xf numFmtId="0" fontId="37" fillId="0" borderId="17" xfId="0" applyFont="1" applyBorder="1" applyAlignment="1">
      <alignment wrapText="1"/>
    </xf>
    <xf numFmtId="0" fontId="40" fillId="0" borderId="17" xfId="0" applyFont="1" applyBorder="1" applyAlignment="1">
      <alignment wrapText="1"/>
    </xf>
    <xf numFmtId="0" fontId="23" fillId="41" borderId="20" xfId="0" applyFont="1" applyFill="1" applyBorder="1"/>
    <xf numFmtId="0" fontId="37" fillId="0" borderId="19" xfId="0" applyFont="1" applyBorder="1" applyAlignment="1">
      <alignment wrapText="1"/>
    </xf>
    <xf numFmtId="0" fontId="40" fillId="0" borderId="19" xfId="0" applyFont="1" applyBorder="1" applyAlignment="1">
      <alignment wrapText="1"/>
    </xf>
    <xf numFmtId="0" fontId="23" fillId="41" borderId="23" xfId="0" applyFont="1" applyFill="1" applyBorder="1"/>
    <xf numFmtId="0" fontId="40" fillId="0" borderId="15" xfId="0" applyFont="1" applyBorder="1" applyAlignment="1">
      <alignment wrapText="1"/>
    </xf>
    <xf numFmtId="0" fontId="40" fillId="0" borderId="18" xfId="0" applyFont="1" applyBorder="1" applyAlignment="1">
      <alignment wrapText="1"/>
    </xf>
    <xf numFmtId="0" fontId="32" fillId="0" borderId="0" xfId="0" applyFont="1" applyAlignment="1">
      <alignment horizontal="center" vertical="center" wrapText="1"/>
    </xf>
    <xf numFmtId="0" fontId="33" fillId="39" borderId="14" xfId="0" applyFont="1" applyFill="1" applyBorder="1" applyAlignment="1">
      <alignment horizontal="center" vertical="center" wrapText="1"/>
    </xf>
    <xf numFmtId="0" fontId="37" fillId="0" borderId="17" xfId="0" applyFont="1" applyBorder="1" applyAlignment="1">
      <alignment vertical="top" wrapText="1"/>
    </xf>
    <xf numFmtId="0" fontId="37" fillId="0" borderId="19" xfId="0" applyFont="1" applyBorder="1" applyAlignment="1">
      <alignment vertical="center" wrapText="1"/>
    </xf>
    <xf numFmtId="0" fontId="40" fillId="0" borderId="15" xfId="0" applyFont="1" applyBorder="1" applyAlignment="1">
      <alignment vertical="center" wrapText="1"/>
    </xf>
    <xf numFmtId="0" fontId="40" fillId="0" borderId="18" xfId="0" applyFont="1" applyBorder="1" applyAlignment="1">
      <alignment vertical="center" wrapText="1"/>
    </xf>
    <xf numFmtId="0" fontId="40" fillId="0" borderId="17" xfId="0" applyFont="1" applyBorder="1" applyAlignment="1">
      <alignment vertical="center" wrapText="1"/>
    </xf>
    <xf numFmtId="0" fontId="40" fillId="0" borderId="19" xfId="0" applyFont="1" applyBorder="1" applyAlignment="1">
      <alignment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viewnextsa365-my.sharepoint.com/personal/yarced_viewnext_com/Documents/Documentos/Naturgy/Proyectos%20PPM/56.-%20Enero%202026/Apagado%20Dazel-Papyrus/Pruebas/SAP/E380%20-%20PPM%20-XXXXX-%20Cambio%20Circuito%20Impresi&#243;n%20NISA%20v1.0.xlsx?594477BE" TargetMode="External"/><Relationship Id="rId1" Type="http://schemas.openxmlformats.org/officeDocument/2006/relationships/externalLinkPath" Target="file:///\\594477BE\E380%20-%20PPM%20-XXXXX-%20Cambio%20Circuito%20Impresi&#243;n%20NISA%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Ps"/>
      <sheetName val="Pasos CdPs"/>
      <sheetName val="Exec"/>
      <sheetName val="Estadísticas"/>
      <sheetName val="Criterios de Diseño"/>
      <sheetName val="Tablas valores"/>
      <sheetName val="Resultados"/>
    </sheetNames>
    <sheetDataSet>
      <sheetData sheetId="0"/>
      <sheetData sheetId="1"/>
      <sheetData sheetId="2"/>
      <sheetData sheetId="3"/>
      <sheetData sheetId="4"/>
      <sheetData sheetId="5">
        <row r="2">
          <cell r="A2" t="str">
            <v>Manual</v>
          </cell>
          <cell r="B2" t="str">
            <v>Alta</v>
          </cell>
          <cell r="C2" t="str">
            <v>Funcional</v>
          </cell>
          <cell r="D2" t="str">
            <v>Borrador</v>
          </cell>
        </row>
        <row r="3">
          <cell r="A3" t="str">
            <v>Automatizado</v>
          </cell>
          <cell r="B3" t="str">
            <v>Media</v>
          </cell>
          <cell r="C3" t="str">
            <v>No Funcional</v>
          </cell>
          <cell r="D3" t="str">
            <v>Terminado</v>
          </cell>
        </row>
        <row r="4">
          <cell r="B4" t="str">
            <v>Baja</v>
          </cell>
          <cell r="D4" t="str">
            <v>Incompleto</v>
          </cell>
        </row>
        <row r="5">
          <cell r="D5" t="str">
            <v>Rechazado</v>
          </cell>
        </row>
      </sheetData>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1005-51FD-4D31-9E5F-EA433AF16751}">
  <dimension ref="B3:G12"/>
  <sheetViews>
    <sheetView workbookViewId="0">
      <selection activeCell="D15" sqref="D15"/>
    </sheetView>
  </sheetViews>
  <sheetFormatPr defaultColWidth="11.42578125" defaultRowHeight="15"/>
  <cols>
    <col min="2" max="2" width="17" bestFit="1" customWidth="1"/>
    <col min="3" max="3" width="15.42578125" bestFit="1" customWidth="1"/>
    <col min="4" max="4" width="12.7109375" bestFit="1" customWidth="1"/>
    <col min="5" max="5" width="7.28515625" customWidth="1"/>
    <col min="6" max="6" width="11.140625" bestFit="1" customWidth="1"/>
    <col min="7" max="7" width="7.42578125" bestFit="1" customWidth="1"/>
  </cols>
  <sheetData>
    <row r="3" spans="2:7">
      <c r="B3" s="115" t="s">
        <v>0</v>
      </c>
      <c r="C3" s="115" t="s">
        <v>1</v>
      </c>
      <c r="D3" s="115" t="s">
        <v>2</v>
      </c>
      <c r="E3" s="115" t="s">
        <v>3</v>
      </c>
      <c r="F3" s="115" t="s">
        <v>4</v>
      </c>
      <c r="G3" s="115" t="s">
        <v>5</v>
      </c>
    </row>
    <row r="4" spans="2:7">
      <c r="B4" s="13" t="s">
        <v>6</v>
      </c>
      <c r="C4" s="116">
        <f>'Facturas SAP NI'!T80</f>
        <v>20</v>
      </c>
      <c r="D4" s="116">
        <f>'Facturas SAP NI'!T79</f>
        <v>0</v>
      </c>
      <c r="E4" s="116">
        <f>'Facturas SAP NI'!T78</f>
        <v>0</v>
      </c>
      <c r="F4" s="116">
        <f>'Facturas SAP NI'!T77</f>
        <v>20</v>
      </c>
      <c r="G4" s="112">
        <f>'Facturas SAP NI'!T76</f>
        <v>0</v>
      </c>
    </row>
    <row r="5" spans="2:7">
      <c r="B5" s="13" t="s">
        <v>7</v>
      </c>
      <c r="C5" s="116">
        <f>'Facturas GNCOM'!P43</f>
        <v>37</v>
      </c>
      <c r="D5" s="116">
        <f>'Facturas GNCOM'!P42</f>
        <v>0</v>
      </c>
      <c r="E5" s="116">
        <f>'Facturas GNCOM'!P41</f>
        <v>0</v>
      </c>
      <c r="F5" s="116">
        <f>'Facturas GNCOM'!P40</f>
        <v>37</v>
      </c>
      <c r="G5" s="112">
        <f>'Facturas GNCOM'!P39</f>
        <v>0</v>
      </c>
    </row>
    <row r="6" spans="2:7">
      <c r="B6" s="13" t="s">
        <v>8</v>
      </c>
      <c r="C6" s="116">
        <f>'Cartas GNCOM'!P23</f>
        <v>17</v>
      </c>
      <c r="D6" s="116">
        <f>'Cartas GNCOM'!P22</f>
        <v>0</v>
      </c>
      <c r="E6" s="116">
        <f>'Cartas GNCOM'!P21</f>
        <v>0</v>
      </c>
      <c r="F6" s="116">
        <f>'Cartas GNCOM'!P20</f>
        <v>17</v>
      </c>
      <c r="G6" s="112">
        <f>'Cartas GNCOM'!P19</f>
        <v>0</v>
      </c>
    </row>
    <row r="7" spans="2:7">
      <c r="B7" s="13" t="s">
        <v>9</v>
      </c>
      <c r="C7" s="116">
        <f>'Facturas GNCOMP'!P17</f>
        <v>11</v>
      </c>
      <c r="D7" s="116">
        <f>'Facturas GNCOMP'!P16</f>
        <v>0</v>
      </c>
      <c r="E7" s="116">
        <f>'Facturas GNCOMP'!P15</f>
        <v>0</v>
      </c>
      <c r="F7" s="116">
        <f>'Facturas GNCOMP'!P14</f>
        <v>11</v>
      </c>
      <c r="G7" s="112">
        <f>'Facturas GNCOMP'!P13</f>
        <v>0</v>
      </c>
    </row>
    <row r="8" spans="2:7">
      <c r="B8" s="13" t="s">
        <v>10</v>
      </c>
      <c r="C8" s="116">
        <f>'Cartas GNOMP'!P8</f>
        <v>2</v>
      </c>
      <c r="D8" s="116">
        <f>'Cartas GNOMP'!P7</f>
        <v>0</v>
      </c>
      <c r="E8" s="116">
        <f>'Cartas GNOMP'!P6</f>
        <v>0</v>
      </c>
      <c r="F8" s="116">
        <f>'Cartas GNOMP'!P5</f>
        <v>2</v>
      </c>
      <c r="G8" s="112">
        <f>'Cartas GNOMP'!P4</f>
        <v>0</v>
      </c>
    </row>
    <row r="9" spans="2:7">
      <c r="B9" s="13" t="s">
        <v>11</v>
      </c>
      <c r="C9" s="116">
        <f>'Facturas CRGP'!R108</f>
        <v>102</v>
      </c>
      <c r="D9" s="116">
        <f>'Facturas CRGP'!R107</f>
        <v>0</v>
      </c>
      <c r="E9" s="116">
        <f>'Facturas CRGP'!R106</f>
        <v>0</v>
      </c>
      <c r="F9" s="116">
        <f>'Facturas CRGP'!R105</f>
        <v>102</v>
      </c>
      <c r="G9" s="112">
        <f>'Facturas CRGP'!R104</f>
        <v>0</v>
      </c>
    </row>
    <row r="10" spans="2:7">
      <c r="B10" s="13" t="s">
        <v>12</v>
      </c>
      <c r="C10" s="116">
        <f>'Cartas CRGP'!Q42</f>
        <v>36</v>
      </c>
      <c r="D10" s="116">
        <f>'Cartas CRGP'!Q41</f>
        <v>0</v>
      </c>
      <c r="E10" s="116">
        <f>'Cartas CRGP'!Q40</f>
        <v>0</v>
      </c>
      <c r="F10" s="116">
        <f>'Cartas CRGP'!Q39</f>
        <v>36</v>
      </c>
      <c r="G10" s="112">
        <f>'Cartas CRGP'!Q38</f>
        <v>0</v>
      </c>
    </row>
    <row r="11" spans="2:7">
      <c r="B11" s="13" t="s">
        <v>13</v>
      </c>
      <c r="C11" s="116">
        <f>'Contratos CRGP'!Q11</f>
        <v>5</v>
      </c>
      <c r="D11" s="116">
        <f>'Contratos CRGP'!Q10</f>
        <v>0</v>
      </c>
      <c r="E11" s="116">
        <f>'Contratos CRGP'!Q9</f>
        <v>0</v>
      </c>
      <c r="F11" s="116">
        <f>'Contratos CRGP'!Q8</f>
        <v>5</v>
      </c>
      <c r="G11" s="112">
        <f>'Contratos CRGP'!Q7</f>
        <v>0</v>
      </c>
    </row>
    <row r="12" spans="2:7">
      <c r="B12" s="13" t="s">
        <v>14</v>
      </c>
      <c r="C12" s="116">
        <f>MEGA!AL62</f>
        <v>49</v>
      </c>
      <c r="D12" s="116">
        <f>MEGA!AL61</f>
        <v>10</v>
      </c>
      <c r="E12" s="116">
        <f>MEGA!AL60</f>
        <v>5</v>
      </c>
      <c r="F12" s="116">
        <f>MEGA!AL59</f>
        <v>34</v>
      </c>
      <c r="G12" s="112">
        <f>MEGA!AL58</f>
        <v>0.20408163265306123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CA4A7-8A23-4C91-BC44-B68FFE1F85F3}">
  <dimension ref="A1:U80"/>
  <sheetViews>
    <sheetView topLeftCell="H1" zoomScale="90" zoomScaleNormal="90" workbookViewId="0">
      <selection activeCell="R2" sqref="R2"/>
    </sheetView>
  </sheetViews>
  <sheetFormatPr defaultColWidth="11.42578125" defaultRowHeight="15"/>
  <cols>
    <col min="1" max="1" width="21.140625" customWidth="1"/>
    <col min="3" max="3" width="16.85546875" customWidth="1"/>
    <col min="7" max="7" width="34.85546875" customWidth="1"/>
    <col min="8" max="8" width="37" customWidth="1"/>
    <col min="13" max="13" width="21.140625" customWidth="1"/>
    <col min="14" max="14" width="16.42578125" customWidth="1"/>
    <col min="15" max="15" width="16.85546875" customWidth="1"/>
    <col min="16" max="16" width="33.85546875" bestFit="1" customWidth="1"/>
    <col min="19" max="19" width="14.28515625" bestFit="1" customWidth="1"/>
    <col min="20" max="20" width="16.42578125" bestFit="1" customWidth="1"/>
    <col min="21" max="21" width="20.28515625" bestFit="1" customWidth="1"/>
  </cols>
  <sheetData>
    <row r="1" spans="1:20" s="34" customFormat="1" ht="39.75" customHeight="1">
      <c r="A1" s="31" t="s">
        <v>15</v>
      </c>
      <c r="B1" s="32" t="s">
        <v>16</v>
      </c>
      <c r="C1" s="32" t="s">
        <v>17</v>
      </c>
      <c r="D1" s="32" t="s">
        <v>18</v>
      </c>
      <c r="E1" s="32" t="s">
        <v>19</v>
      </c>
      <c r="F1" s="31" t="s">
        <v>20</v>
      </c>
      <c r="G1" s="31" t="s">
        <v>21</v>
      </c>
      <c r="H1" s="31" t="s">
        <v>22</v>
      </c>
      <c r="I1" s="31" t="s">
        <v>23</v>
      </c>
      <c r="J1" s="31" t="s">
        <v>24</v>
      </c>
      <c r="K1" s="31" t="s">
        <v>25</v>
      </c>
      <c r="L1" s="31" t="s">
        <v>26</v>
      </c>
      <c r="M1" s="33" t="s">
        <v>27</v>
      </c>
      <c r="N1" s="14" t="s">
        <v>28</v>
      </c>
      <c r="O1" s="21" t="s">
        <v>29</v>
      </c>
      <c r="P1" s="22" t="s">
        <v>30</v>
      </c>
      <c r="Q1" s="22" t="s">
        <v>31</v>
      </c>
      <c r="R1" s="22" t="s">
        <v>32</v>
      </c>
      <c r="S1" s="22" t="s">
        <v>33</v>
      </c>
      <c r="T1" s="22" t="s">
        <v>34</v>
      </c>
    </row>
    <row r="2" spans="1:20" s="39" customFormat="1" ht="39.75" customHeight="1">
      <c r="A2" s="35" t="s">
        <v>35</v>
      </c>
      <c r="B2" s="36" t="s">
        <v>36</v>
      </c>
      <c r="C2" s="36" t="s">
        <v>37</v>
      </c>
      <c r="D2" s="35" t="s">
        <v>36</v>
      </c>
      <c r="E2" s="35" t="s">
        <v>38</v>
      </c>
      <c r="F2" s="35" t="s">
        <v>39</v>
      </c>
      <c r="G2" s="36" t="str">
        <f t="shared" ref="G2:G73" si="0">CONCATENATE(F2,"_",H2)</f>
        <v>CP_001_Impresión factura de ciclo (FE*), sector ELE, tarifa 2.0TD - ES</v>
      </c>
      <c r="H2" s="35" t="s">
        <v>40</v>
      </c>
      <c r="I2" s="37"/>
      <c r="J2" s="37" t="s">
        <v>41</v>
      </c>
      <c r="K2" s="37" t="s">
        <v>42</v>
      </c>
      <c r="L2" s="37" t="s">
        <v>43</v>
      </c>
      <c r="M2" s="38" t="s">
        <v>44</v>
      </c>
      <c r="N2" s="37"/>
      <c r="O2" s="37" t="s">
        <v>45</v>
      </c>
      <c r="P2" s="37" t="s">
        <v>46</v>
      </c>
      <c r="Q2" s="110">
        <v>46013</v>
      </c>
      <c r="R2" s="110">
        <v>45666</v>
      </c>
      <c r="S2" s="110"/>
      <c r="T2" s="111"/>
    </row>
    <row r="3" spans="1:20" s="39" customFormat="1" ht="39.75" customHeight="1">
      <c r="A3" s="35" t="s">
        <v>35</v>
      </c>
      <c r="B3" s="36" t="s">
        <v>36</v>
      </c>
      <c r="C3" s="36" t="s">
        <v>37</v>
      </c>
      <c r="D3" s="35" t="s">
        <v>36</v>
      </c>
      <c r="E3" s="35" t="s">
        <v>38</v>
      </c>
      <c r="F3" s="35" t="s">
        <v>47</v>
      </c>
      <c r="G3" s="36" t="str">
        <f t="shared" si="0"/>
        <v>CP_002_Impresión factura de ciclo (FE*), sector ELE, tarifa 2.0TD - CA</v>
      </c>
      <c r="H3" s="35" t="s">
        <v>48</v>
      </c>
      <c r="I3" s="37"/>
      <c r="J3" s="37" t="s">
        <v>41</v>
      </c>
      <c r="K3" s="37" t="s">
        <v>42</v>
      </c>
      <c r="L3" s="37" t="s">
        <v>43</v>
      </c>
      <c r="M3" s="38" t="s">
        <v>44</v>
      </c>
      <c r="N3" s="37"/>
      <c r="O3" s="37" t="s">
        <v>45</v>
      </c>
      <c r="P3" s="37" t="s">
        <v>46</v>
      </c>
      <c r="Q3" s="110">
        <v>46013</v>
      </c>
      <c r="R3" s="110">
        <v>45666</v>
      </c>
      <c r="S3" s="110"/>
      <c r="T3" s="111" t="s">
        <v>49</v>
      </c>
    </row>
    <row r="4" spans="1:20" s="39" customFormat="1" ht="39.75" customHeight="1">
      <c r="A4" s="35" t="s">
        <v>35</v>
      </c>
      <c r="B4" s="36" t="s">
        <v>36</v>
      </c>
      <c r="C4" s="36" t="s">
        <v>37</v>
      </c>
      <c r="D4" s="35" t="s">
        <v>36</v>
      </c>
      <c r="E4" s="35" t="s">
        <v>38</v>
      </c>
      <c r="F4" s="35" t="s">
        <v>50</v>
      </c>
      <c r="G4" s="36" t="str">
        <f t="shared" si="0"/>
        <v>CP_003_Impresión factura de ciclo (FE*), sector ELE, tarifa 2.0TD - EU</v>
      </c>
      <c r="H4" s="35" t="s">
        <v>51</v>
      </c>
      <c r="I4" s="37"/>
      <c r="J4" s="37" t="s">
        <v>41</v>
      </c>
      <c r="K4" s="37" t="s">
        <v>42</v>
      </c>
      <c r="L4" s="37" t="s">
        <v>43</v>
      </c>
      <c r="M4" s="38" t="s">
        <v>44</v>
      </c>
      <c r="N4" s="37"/>
      <c r="O4" s="37" t="s">
        <v>45</v>
      </c>
      <c r="P4" s="37" t="s">
        <v>46</v>
      </c>
      <c r="Q4" s="110">
        <v>46013</v>
      </c>
      <c r="R4" s="110">
        <v>45666</v>
      </c>
      <c r="S4" s="110"/>
      <c r="T4" s="111" t="s">
        <v>49</v>
      </c>
    </row>
    <row r="5" spans="1:20" s="39" customFormat="1" ht="39.75" customHeight="1">
      <c r="A5" s="35" t="s">
        <v>35</v>
      </c>
      <c r="B5" s="36" t="s">
        <v>36</v>
      </c>
      <c r="C5" s="36" t="s">
        <v>37</v>
      </c>
      <c r="D5" s="35" t="s">
        <v>36</v>
      </c>
      <c r="E5" s="35" t="s">
        <v>38</v>
      </c>
      <c r="F5" s="35" t="s">
        <v>52</v>
      </c>
      <c r="G5" s="36" t="str">
        <f t="shared" si="0"/>
        <v>CP_004_Impresión factura de ciclo (FE*), sector ELE, tarifa 2.0TD - GA</v>
      </c>
      <c r="H5" s="35" t="s">
        <v>53</v>
      </c>
      <c r="I5" s="37"/>
      <c r="J5" s="37" t="s">
        <v>41</v>
      </c>
      <c r="K5" s="37" t="s">
        <v>42</v>
      </c>
      <c r="L5" s="37" t="s">
        <v>43</v>
      </c>
      <c r="M5" s="38" t="s">
        <v>44</v>
      </c>
      <c r="N5" s="37"/>
      <c r="O5" s="37" t="s">
        <v>45</v>
      </c>
      <c r="P5" s="37" t="s">
        <v>46</v>
      </c>
      <c r="Q5" s="110">
        <v>46013</v>
      </c>
      <c r="R5" s="110">
        <v>45666</v>
      </c>
      <c r="S5" s="110"/>
      <c r="T5" s="111" t="s">
        <v>49</v>
      </c>
    </row>
    <row r="6" spans="1:20" s="39" customFormat="1" ht="39.75" customHeight="1">
      <c r="A6" s="35" t="s">
        <v>35</v>
      </c>
      <c r="B6" s="36" t="s">
        <v>36</v>
      </c>
      <c r="C6" s="36" t="s">
        <v>37</v>
      </c>
      <c r="D6" s="35" t="s">
        <v>36</v>
      </c>
      <c r="E6" s="35" t="s">
        <v>38</v>
      </c>
      <c r="F6" s="35" t="s">
        <v>54</v>
      </c>
      <c r="G6" s="36" t="str">
        <f t="shared" si="0"/>
        <v>CP_005_Impresión Refacturación (RE*), sector ELE, tarifa 2.0TD - ES</v>
      </c>
      <c r="H6" s="35" t="s">
        <v>55</v>
      </c>
      <c r="I6" s="37"/>
      <c r="J6" s="37" t="s">
        <v>41</v>
      </c>
      <c r="K6" s="37" t="s">
        <v>42</v>
      </c>
      <c r="L6" s="37" t="s">
        <v>43</v>
      </c>
      <c r="M6" s="38" t="s">
        <v>44</v>
      </c>
      <c r="N6" s="37"/>
      <c r="O6" s="37" t="s">
        <v>45</v>
      </c>
      <c r="P6" s="37" t="s">
        <v>46</v>
      </c>
      <c r="Q6" s="110">
        <v>46013</v>
      </c>
      <c r="R6" s="110">
        <v>45666</v>
      </c>
      <c r="S6" s="110"/>
      <c r="T6" s="111"/>
    </row>
    <row r="7" spans="1:20" s="39" customFormat="1" ht="39.75" customHeight="1">
      <c r="A7" s="35" t="s">
        <v>35</v>
      </c>
      <c r="B7" s="36" t="s">
        <v>36</v>
      </c>
      <c r="C7" s="36" t="s">
        <v>37</v>
      </c>
      <c r="D7" s="35" t="s">
        <v>36</v>
      </c>
      <c r="E7" s="35" t="s">
        <v>38</v>
      </c>
      <c r="F7" s="35" t="s">
        <v>56</v>
      </c>
      <c r="G7" s="36" t="str">
        <f t="shared" si="0"/>
        <v>CP_006_Impresión Refacturación (RE*), sector ELE, tarifa 2.0TD - CA</v>
      </c>
      <c r="H7" s="35" t="s">
        <v>57</v>
      </c>
      <c r="I7" s="37"/>
      <c r="J7" s="37" t="s">
        <v>41</v>
      </c>
      <c r="K7" s="37" t="s">
        <v>42</v>
      </c>
      <c r="L7" s="37" t="s">
        <v>43</v>
      </c>
      <c r="M7" s="38" t="s">
        <v>44</v>
      </c>
      <c r="N7" s="37"/>
      <c r="O7" s="37" t="s">
        <v>45</v>
      </c>
      <c r="P7" s="37" t="s">
        <v>46</v>
      </c>
      <c r="Q7" s="110">
        <v>46013</v>
      </c>
      <c r="R7" s="110">
        <v>45666</v>
      </c>
      <c r="S7" s="110"/>
      <c r="T7" s="111" t="s">
        <v>49</v>
      </c>
    </row>
    <row r="8" spans="1:20" s="39" customFormat="1" ht="39.75" customHeight="1">
      <c r="A8" s="35" t="s">
        <v>35</v>
      </c>
      <c r="B8" s="36" t="s">
        <v>36</v>
      </c>
      <c r="C8" s="36" t="s">
        <v>37</v>
      </c>
      <c r="D8" s="35" t="s">
        <v>36</v>
      </c>
      <c r="E8" s="35" t="s">
        <v>38</v>
      </c>
      <c r="F8" s="35" t="s">
        <v>58</v>
      </c>
      <c r="G8" s="36" t="str">
        <f t="shared" si="0"/>
        <v>CP_007_Impresión Refacturación (RE*), sector ELE, tarifa 2.0TD - EU</v>
      </c>
      <c r="H8" s="35" t="s">
        <v>59</v>
      </c>
      <c r="I8" s="37"/>
      <c r="J8" s="37" t="s">
        <v>41</v>
      </c>
      <c r="K8" s="37" t="s">
        <v>42</v>
      </c>
      <c r="L8" s="37" t="s">
        <v>43</v>
      </c>
      <c r="M8" s="38" t="s">
        <v>44</v>
      </c>
      <c r="N8" s="37"/>
      <c r="O8" s="37" t="s">
        <v>45</v>
      </c>
      <c r="P8" s="37" t="s">
        <v>46</v>
      </c>
      <c r="Q8" s="110">
        <v>46013</v>
      </c>
      <c r="R8" s="110">
        <v>45666</v>
      </c>
      <c r="S8" s="110"/>
      <c r="T8" s="111" t="s">
        <v>49</v>
      </c>
    </row>
    <row r="9" spans="1:20" s="39" customFormat="1" ht="39.75" customHeight="1">
      <c r="A9" s="35" t="s">
        <v>35</v>
      </c>
      <c r="B9" s="36" t="s">
        <v>36</v>
      </c>
      <c r="C9" s="36" t="s">
        <v>37</v>
      </c>
      <c r="D9" s="35" t="s">
        <v>36</v>
      </c>
      <c r="E9" s="35" t="s">
        <v>38</v>
      </c>
      <c r="F9" s="35" t="s">
        <v>60</v>
      </c>
      <c r="G9" s="36" t="str">
        <f t="shared" si="0"/>
        <v>CP_008_Impresión Refacturación (RE*), sector ELE, tarifa 2.0TD - GA</v>
      </c>
      <c r="H9" s="35" t="s">
        <v>61</v>
      </c>
      <c r="I9" s="37"/>
      <c r="J9" s="37" t="s">
        <v>41</v>
      </c>
      <c r="K9" s="37" t="s">
        <v>42</v>
      </c>
      <c r="L9" s="37" t="s">
        <v>43</v>
      </c>
      <c r="M9" s="38" t="s">
        <v>44</v>
      </c>
      <c r="N9" s="37"/>
      <c r="O9" s="37" t="s">
        <v>45</v>
      </c>
      <c r="P9" s="37" t="s">
        <v>46</v>
      </c>
      <c r="Q9" s="110">
        <v>46013</v>
      </c>
      <c r="R9" s="110">
        <v>45666</v>
      </c>
      <c r="S9" s="110"/>
      <c r="T9" s="111" t="s">
        <v>49</v>
      </c>
    </row>
    <row r="10" spans="1:20" s="39" customFormat="1" ht="39.75" customHeight="1">
      <c r="A10" s="35" t="s">
        <v>35</v>
      </c>
      <c r="B10" s="36" t="s">
        <v>36</v>
      </c>
      <c r="C10" s="36" t="s">
        <v>37</v>
      </c>
      <c r="D10" s="35" t="s">
        <v>36</v>
      </c>
      <c r="E10" s="35" t="s">
        <v>38</v>
      </c>
      <c r="F10" s="35" t="s">
        <v>62</v>
      </c>
      <c r="G10" s="36" t="str">
        <f t="shared" si="0"/>
        <v>CP_009_Impresión  factura de anulación (SU*), sector ELE, tarifa 2.0TD -ES</v>
      </c>
      <c r="H10" s="35" t="s">
        <v>63</v>
      </c>
      <c r="I10" s="37"/>
      <c r="J10" s="37" t="s">
        <v>41</v>
      </c>
      <c r="K10" s="37" t="s">
        <v>42</v>
      </c>
      <c r="L10" s="37" t="s">
        <v>43</v>
      </c>
      <c r="M10" s="38" t="s">
        <v>44</v>
      </c>
      <c r="N10" s="37"/>
      <c r="O10" s="37" t="s">
        <v>45</v>
      </c>
      <c r="P10" s="37" t="s">
        <v>46</v>
      </c>
      <c r="Q10" s="110">
        <v>46013</v>
      </c>
      <c r="R10" s="110">
        <v>45666</v>
      </c>
      <c r="S10" s="110"/>
      <c r="T10" s="111"/>
    </row>
    <row r="11" spans="1:20" s="39" customFormat="1" ht="39.75" customHeight="1">
      <c r="A11" s="35" t="s">
        <v>35</v>
      </c>
      <c r="B11" s="36" t="s">
        <v>36</v>
      </c>
      <c r="C11" s="36" t="s">
        <v>37</v>
      </c>
      <c r="D11" s="35" t="s">
        <v>36</v>
      </c>
      <c r="E11" s="35" t="s">
        <v>38</v>
      </c>
      <c r="F11" s="35" t="s">
        <v>64</v>
      </c>
      <c r="G11" s="36" t="str">
        <f t="shared" si="0"/>
        <v>CP_010_Impresión  factura de anulación (SU*), sector ELE, tarifa 2.0TD -CA</v>
      </c>
      <c r="H11" s="35" t="s">
        <v>65</v>
      </c>
      <c r="I11" s="37"/>
      <c r="J11" s="37" t="s">
        <v>41</v>
      </c>
      <c r="K11" s="37" t="s">
        <v>42</v>
      </c>
      <c r="L11" s="37" t="s">
        <v>43</v>
      </c>
      <c r="M11" s="38" t="s">
        <v>44</v>
      </c>
      <c r="N11" s="37"/>
      <c r="O11" s="37" t="s">
        <v>45</v>
      </c>
      <c r="P11" s="37" t="s">
        <v>46</v>
      </c>
      <c r="Q11" s="110">
        <v>46013</v>
      </c>
      <c r="R11" s="110">
        <v>45666</v>
      </c>
      <c r="S11" s="110"/>
      <c r="T11" s="111" t="s">
        <v>49</v>
      </c>
    </row>
    <row r="12" spans="1:20" s="39" customFormat="1" ht="39.75" customHeight="1">
      <c r="A12" s="35" t="s">
        <v>35</v>
      </c>
      <c r="B12" s="36" t="s">
        <v>36</v>
      </c>
      <c r="C12" s="36" t="s">
        <v>37</v>
      </c>
      <c r="D12" s="35" t="s">
        <v>36</v>
      </c>
      <c r="E12" s="35" t="s">
        <v>38</v>
      </c>
      <c r="F12" s="35" t="s">
        <v>66</v>
      </c>
      <c r="G12" s="36" t="str">
        <f t="shared" si="0"/>
        <v>CP_011_Impresión  factura de anulación (SU*), sector ELE, tarifa 2.0TD -EU</v>
      </c>
      <c r="H12" s="35" t="s">
        <v>67</v>
      </c>
      <c r="I12" s="37"/>
      <c r="J12" s="37" t="s">
        <v>41</v>
      </c>
      <c r="K12" s="37" t="s">
        <v>42</v>
      </c>
      <c r="L12" s="37" t="s">
        <v>43</v>
      </c>
      <c r="M12" s="38" t="s">
        <v>44</v>
      </c>
      <c r="N12" s="37"/>
      <c r="O12" s="37" t="s">
        <v>45</v>
      </c>
      <c r="P12" s="37" t="s">
        <v>46</v>
      </c>
      <c r="Q12" s="110">
        <v>46013</v>
      </c>
      <c r="R12" s="110">
        <v>45666</v>
      </c>
      <c r="S12" s="110"/>
      <c r="T12" s="111" t="s">
        <v>49</v>
      </c>
    </row>
    <row r="13" spans="1:20" s="39" customFormat="1" ht="39.75" customHeight="1">
      <c r="A13" s="35" t="s">
        <v>35</v>
      </c>
      <c r="B13" s="36" t="s">
        <v>36</v>
      </c>
      <c r="C13" s="36" t="s">
        <v>37</v>
      </c>
      <c r="D13" s="35" t="s">
        <v>36</v>
      </c>
      <c r="E13" s="35" t="s">
        <v>38</v>
      </c>
      <c r="F13" s="35" t="s">
        <v>68</v>
      </c>
      <c r="G13" s="36" t="str">
        <f t="shared" si="0"/>
        <v>CP_012_Impresión  factura de anulación (SU*), sector ELE, tarifa 2.0TD -GA</v>
      </c>
      <c r="H13" s="35" t="s">
        <v>69</v>
      </c>
      <c r="I13" s="37"/>
      <c r="J13" s="37" t="s">
        <v>41</v>
      </c>
      <c r="K13" s="37" t="s">
        <v>42</v>
      </c>
      <c r="L13" s="37" t="s">
        <v>43</v>
      </c>
      <c r="M13" s="38" t="s">
        <v>44</v>
      </c>
      <c r="N13" s="37"/>
      <c r="O13" s="37" t="s">
        <v>45</v>
      </c>
      <c r="P13" s="37" t="s">
        <v>46</v>
      </c>
      <c r="Q13" s="110">
        <v>46013</v>
      </c>
      <c r="R13" s="110">
        <v>45666</v>
      </c>
      <c r="S13" s="110"/>
      <c r="T13" s="111" t="s">
        <v>49</v>
      </c>
    </row>
    <row r="14" spans="1:20" s="39" customFormat="1" ht="39.75" customHeight="1">
      <c r="A14" s="35" t="s">
        <v>35</v>
      </c>
      <c r="B14" s="36" t="s">
        <v>36</v>
      </c>
      <c r="C14" s="36" t="s">
        <v>37</v>
      </c>
      <c r="D14" s="35" t="s">
        <v>36</v>
      </c>
      <c r="E14" s="35" t="s">
        <v>38</v>
      </c>
      <c r="F14" s="35" t="s">
        <v>70</v>
      </c>
      <c r="G14" s="36" t="str">
        <f t="shared" si="0"/>
        <v>CP_013_Impresión factura de Ajuste (AE*), sector ELE, tarifa 2.0TD -ES</v>
      </c>
      <c r="H14" s="35" t="s">
        <v>71</v>
      </c>
      <c r="I14" s="37"/>
      <c r="J14" s="37" t="s">
        <v>41</v>
      </c>
      <c r="K14" s="37" t="s">
        <v>42</v>
      </c>
      <c r="L14" s="37" t="s">
        <v>43</v>
      </c>
      <c r="M14" s="38" t="s">
        <v>44</v>
      </c>
      <c r="N14" s="37"/>
      <c r="O14" s="37" t="s">
        <v>45</v>
      </c>
      <c r="P14" s="37" t="s">
        <v>46</v>
      </c>
      <c r="Q14" s="110">
        <v>46013</v>
      </c>
      <c r="R14" s="110">
        <v>45666</v>
      </c>
      <c r="S14" s="110"/>
      <c r="T14" s="111"/>
    </row>
    <row r="15" spans="1:20" s="39" customFormat="1" ht="39.75" customHeight="1">
      <c r="A15" s="35" t="s">
        <v>35</v>
      </c>
      <c r="B15" s="36" t="s">
        <v>36</v>
      </c>
      <c r="C15" s="36" t="s">
        <v>37</v>
      </c>
      <c r="D15" s="35" t="s">
        <v>36</v>
      </c>
      <c r="E15" s="35" t="s">
        <v>38</v>
      </c>
      <c r="F15" s="35" t="s">
        <v>72</v>
      </c>
      <c r="G15" s="36" t="str">
        <f t="shared" si="0"/>
        <v>CP_014_Impresión factura de Ajuste (AE*), sector ELE, tarifa 2.0TD -CA</v>
      </c>
      <c r="H15" s="35" t="s">
        <v>73</v>
      </c>
      <c r="I15" s="37"/>
      <c r="J15" s="37" t="s">
        <v>41</v>
      </c>
      <c r="K15" s="37" t="s">
        <v>42</v>
      </c>
      <c r="L15" s="37" t="s">
        <v>43</v>
      </c>
      <c r="M15" s="38" t="s">
        <v>44</v>
      </c>
      <c r="N15" s="37"/>
      <c r="O15" s="37" t="s">
        <v>45</v>
      </c>
      <c r="P15" s="37" t="s">
        <v>46</v>
      </c>
      <c r="Q15" s="110">
        <v>46013</v>
      </c>
      <c r="R15" s="110">
        <v>45666</v>
      </c>
      <c r="S15" s="110"/>
      <c r="T15" s="111" t="s">
        <v>49</v>
      </c>
    </row>
    <row r="16" spans="1:20" s="39" customFormat="1" ht="39.75" customHeight="1">
      <c r="A16" s="35" t="s">
        <v>35</v>
      </c>
      <c r="B16" s="36" t="s">
        <v>36</v>
      </c>
      <c r="C16" s="36" t="s">
        <v>37</v>
      </c>
      <c r="D16" s="35" t="s">
        <v>36</v>
      </c>
      <c r="E16" s="35" t="s">
        <v>38</v>
      </c>
      <c r="F16" s="35" t="s">
        <v>74</v>
      </c>
      <c r="G16" s="36" t="str">
        <f t="shared" si="0"/>
        <v>CP_015_Impresión factura de Ajuste (AE*), sector ELE, tarifa 2.0TD -EU</v>
      </c>
      <c r="H16" s="35" t="s">
        <v>75</v>
      </c>
      <c r="I16" s="37"/>
      <c r="J16" s="37" t="s">
        <v>41</v>
      </c>
      <c r="K16" s="37" t="s">
        <v>42</v>
      </c>
      <c r="L16" s="37" t="s">
        <v>43</v>
      </c>
      <c r="M16" s="38" t="s">
        <v>44</v>
      </c>
      <c r="N16" s="37"/>
      <c r="O16" s="37" t="s">
        <v>45</v>
      </c>
      <c r="P16" s="37" t="s">
        <v>46</v>
      </c>
      <c r="Q16" s="110">
        <v>46013</v>
      </c>
      <c r="R16" s="110">
        <v>45666</v>
      </c>
      <c r="S16" s="110"/>
      <c r="T16" s="111" t="s">
        <v>49</v>
      </c>
    </row>
    <row r="17" spans="1:20" s="39" customFormat="1" ht="39.75" customHeight="1">
      <c r="A17" s="35" t="s">
        <v>35</v>
      </c>
      <c r="B17" s="36" t="s">
        <v>36</v>
      </c>
      <c r="C17" s="36" t="s">
        <v>37</v>
      </c>
      <c r="D17" s="35" t="s">
        <v>36</v>
      </c>
      <c r="E17" s="35" t="s">
        <v>38</v>
      </c>
      <c r="F17" s="35" t="s">
        <v>76</v>
      </c>
      <c r="G17" s="36" t="str">
        <f t="shared" si="0"/>
        <v>CP_016_Impresión factura de Ajuste (AE*), sector ELE, tarifa 2.0TD -GA</v>
      </c>
      <c r="H17" s="35" t="s">
        <v>77</v>
      </c>
      <c r="I17" s="37"/>
      <c r="J17" s="37" t="s">
        <v>41</v>
      </c>
      <c r="K17" s="37" t="s">
        <v>42</v>
      </c>
      <c r="L17" s="37" t="s">
        <v>43</v>
      </c>
      <c r="M17" s="38" t="s">
        <v>44</v>
      </c>
      <c r="N17" s="37"/>
      <c r="O17" s="37" t="s">
        <v>45</v>
      </c>
      <c r="P17" s="37" t="s">
        <v>46</v>
      </c>
      <c r="Q17" s="110">
        <v>46013</v>
      </c>
      <c r="R17" s="110">
        <v>45666</v>
      </c>
      <c r="S17" s="110"/>
      <c r="T17" s="111" t="s">
        <v>49</v>
      </c>
    </row>
    <row r="18" spans="1:20" s="39" customFormat="1" ht="39.75" customHeight="1">
      <c r="A18" s="35" t="s">
        <v>35</v>
      </c>
      <c r="B18" s="36" t="s">
        <v>36</v>
      </c>
      <c r="C18" s="36" t="s">
        <v>37</v>
      </c>
      <c r="D18" s="35" t="s">
        <v>36</v>
      </c>
      <c r="E18" s="35" t="s">
        <v>38</v>
      </c>
      <c r="F18" s="35" t="s">
        <v>78</v>
      </c>
      <c r="G18" s="36" t="str">
        <f t="shared" si="0"/>
        <v>CP_017_Impresión factura de ciclo (FE*), sector ELE, tarifa 3.0TD - ES</v>
      </c>
      <c r="H18" s="35" t="s">
        <v>79</v>
      </c>
      <c r="I18" s="37"/>
      <c r="J18" s="37" t="s">
        <v>41</v>
      </c>
      <c r="K18" s="37" t="s">
        <v>42</v>
      </c>
      <c r="L18" s="37" t="s">
        <v>43</v>
      </c>
      <c r="M18" s="38" t="s">
        <v>44</v>
      </c>
      <c r="N18" s="37"/>
      <c r="O18" s="37" t="s">
        <v>45</v>
      </c>
      <c r="P18" s="37" t="s">
        <v>46</v>
      </c>
      <c r="Q18" s="110">
        <v>46013</v>
      </c>
      <c r="R18" s="110">
        <v>45666</v>
      </c>
      <c r="S18" s="110"/>
      <c r="T18" s="111"/>
    </row>
    <row r="19" spans="1:20" s="39" customFormat="1" ht="39.75" customHeight="1">
      <c r="A19" s="35" t="s">
        <v>35</v>
      </c>
      <c r="B19" s="36" t="s">
        <v>36</v>
      </c>
      <c r="C19" s="36" t="s">
        <v>37</v>
      </c>
      <c r="D19" s="35" t="s">
        <v>36</v>
      </c>
      <c r="E19" s="35" t="s">
        <v>38</v>
      </c>
      <c r="F19" s="35" t="s">
        <v>80</v>
      </c>
      <c r="G19" s="36" t="str">
        <f t="shared" si="0"/>
        <v>CP_018_Impresión factura de ciclo (FE*), sector ELE, tarifa 3.0TD - CA</v>
      </c>
      <c r="H19" s="35" t="s">
        <v>81</v>
      </c>
      <c r="I19" s="37"/>
      <c r="J19" s="37" t="s">
        <v>41</v>
      </c>
      <c r="K19" s="37" t="s">
        <v>42</v>
      </c>
      <c r="L19" s="37" t="s">
        <v>43</v>
      </c>
      <c r="M19" s="38" t="s">
        <v>44</v>
      </c>
      <c r="N19" s="37"/>
      <c r="O19" s="37" t="s">
        <v>45</v>
      </c>
      <c r="P19" s="37" t="s">
        <v>46</v>
      </c>
      <c r="Q19" s="110">
        <v>46013</v>
      </c>
      <c r="R19" s="110">
        <v>45666</v>
      </c>
      <c r="S19" s="110"/>
      <c r="T19" s="111" t="s">
        <v>49</v>
      </c>
    </row>
    <row r="20" spans="1:20" s="39" customFormat="1" ht="39.75" customHeight="1">
      <c r="A20" s="35" t="s">
        <v>35</v>
      </c>
      <c r="B20" s="36" t="s">
        <v>36</v>
      </c>
      <c r="C20" s="36" t="s">
        <v>37</v>
      </c>
      <c r="D20" s="35" t="s">
        <v>36</v>
      </c>
      <c r="E20" s="35" t="s">
        <v>38</v>
      </c>
      <c r="F20" s="35" t="s">
        <v>82</v>
      </c>
      <c r="G20" s="36" t="str">
        <f t="shared" si="0"/>
        <v>CP_019_Impresión factura de ciclo (FE*), sector ELE, tarifa 3.0TD - EU</v>
      </c>
      <c r="H20" s="35" t="s">
        <v>83</v>
      </c>
      <c r="I20" s="37"/>
      <c r="J20" s="37" t="s">
        <v>41</v>
      </c>
      <c r="K20" s="37" t="s">
        <v>42</v>
      </c>
      <c r="L20" s="37" t="s">
        <v>43</v>
      </c>
      <c r="M20" s="38" t="s">
        <v>44</v>
      </c>
      <c r="N20" s="37"/>
      <c r="O20" s="37" t="s">
        <v>45</v>
      </c>
      <c r="P20" s="37" t="s">
        <v>46</v>
      </c>
      <c r="Q20" s="110">
        <v>46013</v>
      </c>
      <c r="R20" s="110">
        <v>45666</v>
      </c>
      <c r="S20" s="110"/>
      <c r="T20" s="111" t="s">
        <v>49</v>
      </c>
    </row>
    <row r="21" spans="1:20" s="39" customFormat="1" ht="39.75" customHeight="1">
      <c r="A21" s="35" t="s">
        <v>35</v>
      </c>
      <c r="B21" s="36" t="s">
        <v>36</v>
      </c>
      <c r="C21" s="36" t="s">
        <v>37</v>
      </c>
      <c r="D21" s="35" t="s">
        <v>36</v>
      </c>
      <c r="E21" s="35" t="s">
        <v>38</v>
      </c>
      <c r="F21" s="35" t="s">
        <v>84</v>
      </c>
      <c r="G21" s="36" t="str">
        <f t="shared" si="0"/>
        <v>CP_020_Impresión factura de ciclo (FE*), sector ELE, tarifa 3.0TD - GA</v>
      </c>
      <c r="H21" s="35" t="s">
        <v>85</v>
      </c>
      <c r="I21" s="37"/>
      <c r="J21" s="37" t="s">
        <v>41</v>
      </c>
      <c r="K21" s="37" t="s">
        <v>42</v>
      </c>
      <c r="L21" s="37" t="s">
        <v>43</v>
      </c>
      <c r="M21" s="38" t="s">
        <v>44</v>
      </c>
      <c r="N21" s="37"/>
      <c r="O21" s="37" t="s">
        <v>45</v>
      </c>
      <c r="P21" s="37" t="s">
        <v>46</v>
      </c>
      <c r="Q21" s="110">
        <v>46013</v>
      </c>
      <c r="R21" s="110">
        <v>45666</v>
      </c>
      <c r="S21" s="110"/>
      <c r="T21" s="111" t="s">
        <v>49</v>
      </c>
    </row>
    <row r="22" spans="1:20" s="39" customFormat="1" ht="39.75" customHeight="1">
      <c r="A22" s="35" t="s">
        <v>35</v>
      </c>
      <c r="B22" s="36" t="s">
        <v>36</v>
      </c>
      <c r="C22" s="36" t="s">
        <v>37</v>
      </c>
      <c r="D22" s="35" t="s">
        <v>36</v>
      </c>
      <c r="E22" s="35" t="s">
        <v>38</v>
      </c>
      <c r="F22" s="35" t="s">
        <v>86</v>
      </c>
      <c r="G22" s="36" t="str">
        <f t="shared" si="0"/>
        <v>CP_021_Impresión Refacturación (RE*), sector ELE, tarifa 3.0TD - ES</v>
      </c>
      <c r="H22" s="35" t="s">
        <v>87</v>
      </c>
      <c r="I22" s="37"/>
      <c r="J22" s="37" t="s">
        <v>41</v>
      </c>
      <c r="K22" s="37" t="s">
        <v>42</v>
      </c>
      <c r="L22" s="37" t="s">
        <v>43</v>
      </c>
      <c r="M22" s="38" t="s">
        <v>44</v>
      </c>
      <c r="N22" s="37"/>
      <c r="O22" s="37" t="s">
        <v>45</v>
      </c>
      <c r="P22" s="37" t="s">
        <v>46</v>
      </c>
      <c r="Q22" s="110">
        <v>46013</v>
      </c>
      <c r="R22" s="110">
        <v>45666</v>
      </c>
      <c r="S22" s="110"/>
      <c r="T22" s="111"/>
    </row>
    <row r="23" spans="1:20" s="39" customFormat="1" ht="39.75" customHeight="1">
      <c r="A23" s="35" t="s">
        <v>35</v>
      </c>
      <c r="B23" s="36" t="s">
        <v>36</v>
      </c>
      <c r="C23" s="36" t="s">
        <v>37</v>
      </c>
      <c r="D23" s="35" t="s">
        <v>36</v>
      </c>
      <c r="E23" s="35" t="s">
        <v>38</v>
      </c>
      <c r="F23" s="35" t="s">
        <v>88</v>
      </c>
      <c r="G23" s="36" t="str">
        <f t="shared" si="0"/>
        <v>CP_022_Impresión Refacturación (RE*), sector ELE, tarifa 3.0TD - CA</v>
      </c>
      <c r="H23" s="35" t="s">
        <v>89</v>
      </c>
      <c r="I23" s="37"/>
      <c r="J23" s="37" t="s">
        <v>41</v>
      </c>
      <c r="K23" s="37" t="s">
        <v>42</v>
      </c>
      <c r="L23" s="37" t="s">
        <v>43</v>
      </c>
      <c r="M23" s="38" t="s">
        <v>44</v>
      </c>
      <c r="N23" s="37"/>
      <c r="O23" s="37" t="s">
        <v>45</v>
      </c>
      <c r="P23" s="37" t="s">
        <v>46</v>
      </c>
      <c r="Q23" s="110">
        <v>46013</v>
      </c>
      <c r="R23" s="110">
        <v>45666</v>
      </c>
      <c r="S23" s="110"/>
      <c r="T23" s="111" t="s">
        <v>49</v>
      </c>
    </row>
    <row r="24" spans="1:20" s="39" customFormat="1" ht="39.75" customHeight="1">
      <c r="A24" s="35" t="s">
        <v>35</v>
      </c>
      <c r="B24" s="36" t="s">
        <v>36</v>
      </c>
      <c r="C24" s="36" t="s">
        <v>37</v>
      </c>
      <c r="D24" s="35" t="s">
        <v>36</v>
      </c>
      <c r="E24" s="35" t="s">
        <v>38</v>
      </c>
      <c r="F24" s="35" t="s">
        <v>90</v>
      </c>
      <c r="G24" s="36" t="str">
        <f t="shared" si="0"/>
        <v>CP_023_Impresión Refacturación (RE*), sector ELE, tarifa 3.0TD - EU</v>
      </c>
      <c r="H24" s="35" t="s">
        <v>91</v>
      </c>
      <c r="I24" s="37"/>
      <c r="J24" s="37" t="s">
        <v>41</v>
      </c>
      <c r="K24" s="37" t="s">
        <v>42</v>
      </c>
      <c r="L24" s="37" t="s">
        <v>43</v>
      </c>
      <c r="M24" s="38" t="s">
        <v>44</v>
      </c>
      <c r="N24" s="37"/>
      <c r="O24" s="37" t="s">
        <v>45</v>
      </c>
      <c r="P24" s="37" t="s">
        <v>46</v>
      </c>
      <c r="Q24" s="110">
        <v>46013</v>
      </c>
      <c r="R24" s="110">
        <v>45666</v>
      </c>
      <c r="S24" s="110"/>
      <c r="T24" s="111" t="s">
        <v>49</v>
      </c>
    </row>
    <row r="25" spans="1:20" s="39" customFormat="1" ht="39.75" customHeight="1">
      <c r="A25" s="35" t="s">
        <v>35</v>
      </c>
      <c r="B25" s="36" t="s">
        <v>36</v>
      </c>
      <c r="C25" s="36" t="s">
        <v>37</v>
      </c>
      <c r="D25" s="35" t="s">
        <v>36</v>
      </c>
      <c r="E25" s="35" t="s">
        <v>38</v>
      </c>
      <c r="F25" s="35" t="s">
        <v>92</v>
      </c>
      <c r="G25" s="36" t="str">
        <f t="shared" si="0"/>
        <v>CP_024_Impresión Refacturación (RE*), sector ELE, tarifa 3.0TD - GA</v>
      </c>
      <c r="H25" s="35" t="s">
        <v>93</v>
      </c>
      <c r="I25" s="37"/>
      <c r="J25" s="37" t="s">
        <v>41</v>
      </c>
      <c r="K25" s="37" t="s">
        <v>42</v>
      </c>
      <c r="L25" s="37" t="s">
        <v>43</v>
      </c>
      <c r="M25" s="38" t="s">
        <v>44</v>
      </c>
      <c r="N25" s="37"/>
      <c r="O25" s="37" t="s">
        <v>45</v>
      </c>
      <c r="P25" s="37" t="s">
        <v>46</v>
      </c>
      <c r="Q25" s="110">
        <v>46013</v>
      </c>
      <c r="R25" s="110">
        <v>45666</v>
      </c>
      <c r="S25" s="110"/>
      <c r="T25" s="111" t="s">
        <v>49</v>
      </c>
    </row>
    <row r="26" spans="1:20" s="39" customFormat="1" ht="39.75" customHeight="1">
      <c r="A26" s="35" t="s">
        <v>35</v>
      </c>
      <c r="B26" s="36" t="s">
        <v>36</v>
      </c>
      <c r="C26" s="36" t="s">
        <v>37</v>
      </c>
      <c r="D26" s="35" t="s">
        <v>36</v>
      </c>
      <c r="E26" s="35" t="s">
        <v>38</v>
      </c>
      <c r="F26" s="35" t="s">
        <v>94</v>
      </c>
      <c r="G26" s="36" t="str">
        <f t="shared" si="0"/>
        <v>CP_025_Impresión  factura de anulación (SU*), sector ELE, tarifa 3.0TD - ES</v>
      </c>
      <c r="H26" s="35" t="s">
        <v>95</v>
      </c>
      <c r="I26" s="37"/>
      <c r="J26" s="37" t="s">
        <v>41</v>
      </c>
      <c r="K26" s="37" t="s">
        <v>42</v>
      </c>
      <c r="L26" s="37" t="s">
        <v>43</v>
      </c>
      <c r="M26" s="38" t="s">
        <v>44</v>
      </c>
      <c r="N26" s="37"/>
      <c r="O26" s="37" t="s">
        <v>45</v>
      </c>
      <c r="P26" s="37" t="s">
        <v>46</v>
      </c>
      <c r="Q26" s="110">
        <v>46013</v>
      </c>
      <c r="R26" s="110">
        <v>45666</v>
      </c>
      <c r="S26" s="110"/>
      <c r="T26" s="111"/>
    </row>
    <row r="27" spans="1:20" s="39" customFormat="1" ht="39.75" customHeight="1">
      <c r="A27" s="35" t="s">
        <v>35</v>
      </c>
      <c r="B27" s="36" t="s">
        <v>36</v>
      </c>
      <c r="C27" s="36" t="s">
        <v>37</v>
      </c>
      <c r="D27" s="35" t="s">
        <v>36</v>
      </c>
      <c r="E27" s="35" t="s">
        <v>38</v>
      </c>
      <c r="F27" s="35" t="s">
        <v>96</v>
      </c>
      <c r="G27" s="36" t="str">
        <f t="shared" si="0"/>
        <v>CP_026_Impresión  factura de anulación (SU*), sector ELE, tarifa 3.0TD - CA</v>
      </c>
      <c r="H27" s="35" t="s">
        <v>97</v>
      </c>
      <c r="I27" s="37"/>
      <c r="J27" s="37" t="s">
        <v>41</v>
      </c>
      <c r="K27" s="37" t="s">
        <v>42</v>
      </c>
      <c r="L27" s="37" t="s">
        <v>43</v>
      </c>
      <c r="M27" s="38" t="s">
        <v>44</v>
      </c>
      <c r="N27" s="37"/>
      <c r="O27" s="37" t="s">
        <v>45</v>
      </c>
      <c r="P27" s="37" t="s">
        <v>46</v>
      </c>
      <c r="Q27" s="110">
        <v>46013</v>
      </c>
      <c r="R27" s="110">
        <v>45666</v>
      </c>
      <c r="S27" s="110"/>
      <c r="T27" s="111" t="s">
        <v>49</v>
      </c>
    </row>
    <row r="28" spans="1:20" s="39" customFormat="1" ht="39.75" customHeight="1">
      <c r="A28" s="35" t="s">
        <v>35</v>
      </c>
      <c r="B28" s="36" t="s">
        <v>36</v>
      </c>
      <c r="C28" s="36" t="s">
        <v>37</v>
      </c>
      <c r="D28" s="35" t="s">
        <v>36</v>
      </c>
      <c r="E28" s="35" t="s">
        <v>38</v>
      </c>
      <c r="F28" s="35" t="s">
        <v>98</v>
      </c>
      <c r="G28" s="36" t="str">
        <f t="shared" si="0"/>
        <v>CP_027_Impresión  factura de anulación (SU*), sector ELE, tarifa 3.0TD - EU</v>
      </c>
      <c r="H28" s="35" t="s">
        <v>99</v>
      </c>
      <c r="I28" s="37"/>
      <c r="J28" s="37" t="s">
        <v>41</v>
      </c>
      <c r="K28" s="37" t="s">
        <v>42</v>
      </c>
      <c r="L28" s="37" t="s">
        <v>43</v>
      </c>
      <c r="M28" s="38" t="s">
        <v>44</v>
      </c>
      <c r="N28" s="37"/>
      <c r="O28" s="37" t="s">
        <v>45</v>
      </c>
      <c r="P28" s="37" t="s">
        <v>46</v>
      </c>
      <c r="Q28" s="110">
        <v>46013</v>
      </c>
      <c r="R28" s="110">
        <v>45666</v>
      </c>
      <c r="S28" s="110"/>
      <c r="T28" s="111" t="s">
        <v>49</v>
      </c>
    </row>
    <row r="29" spans="1:20" s="39" customFormat="1" ht="39.75" customHeight="1">
      <c r="A29" s="35" t="s">
        <v>35</v>
      </c>
      <c r="B29" s="36" t="s">
        <v>36</v>
      </c>
      <c r="C29" s="36" t="s">
        <v>37</v>
      </c>
      <c r="D29" s="35" t="s">
        <v>36</v>
      </c>
      <c r="E29" s="35" t="s">
        <v>38</v>
      </c>
      <c r="F29" s="35" t="s">
        <v>100</v>
      </c>
      <c r="G29" s="36" t="str">
        <f t="shared" si="0"/>
        <v>CP_028_Impresión  factura de anulación (SU*), sector ELE, tarifa 3.0TD - GA</v>
      </c>
      <c r="H29" s="35" t="s">
        <v>101</v>
      </c>
      <c r="I29" s="37"/>
      <c r="J29" s="37" t="s">
        <v>41</v>
      </c>
      <c r="K29" s="37" t="s">
        <v>42</v>
      </c>
      <c r="L29" s="37" t="s">
        <v>43</v>
      </c>
      <c r="M29" s="38" t="s">
        <v>44</v>
      </c>
      <c r="N29" s="37"/>
      <c r="O29" s="37" t="s">
        <v>45</v>
      </c>
      <c r="P29" s="37" t="s">
        <v>46</v>
      </c>
      <c r="Q29" s="110">
        <v>46013</v>
      </c>
      <c r="R29" s="110">
        <v>45666</v>
      </c>
      <c r="S29" s="110"/>
      <c r="T29" s="111" t="s">
        <v>49</v>
      </c>
    </row>
    <row r="30" spans="1:20" s="39" customFormat="1" ht="39.75" customHeight="1">
      <c r="A30" s="35" t="s">
        <v>35</v>
      </c>
      <c r="B30" s="36" t="s">
        <v>36</v>
      </c>
      <c r="C30" s="36" t="s">
        <v>37</v>
      </c>
      <c r="D30" s="35" t="s">
        <v>36</v>
      </c>
      <c r="E30" s="35" t="s">
        <v>38</v>
      </c>
      <c r="F30" s="35" t="s">
        <v>102</v>
      </c>
      <c r="G30" s="36" t="str">
        <f>CONCATENATE(F30,"_",H30)</f>
        <v>CP_029_Impresión factura de ciclo (FE*), sector ELE, tarifa 6.0TD - ES</v>
      </c>
      <c r="H30" s="35" t="s">
        <v>103</v>
      </c>
      <c r="I30" s="37"/>
      <c r="J30" s="37" t="s">
        <v>41</v>
      </c>
      <c r="K30" s="37" t="s">
        <v>42</v>
      </c>
      <c r="L30" s="37" t="s">
        <v>43</v>
      </c>
      <c r="M30" s="38" t="s">
        <v>44</v>
      </c>
      <c r="N30" s="37"/>
      <c r="O30" s="37" t="s">
        <v>45</v>
      </c>
      <c r="P30" s="37" t="s">
        <v>46</v>
      </c>
      <c r="Q30" s="110">
        <v>46013</v>
      </c>
      <c r="R30" s="110">
        <v>45666</v>
      </c>
      <c r="S30" s="110"/>
      <c r="T30" s="111"/>
    </row>
    <row r="31" spans="1:20" s="39" customFormat="1" ht="39.75" customHeight="1">
      <c r="A31" s="35" t="s">
        <v>35</v>
      </c>
      <c r="B31" s="36" t="s">
        <v>36</v>
      </c>
      <c r="C31" s="36" t="s">
        <v>37</v>
      </c>
      <c r="D31" s="35" t="s">
        <v>36</v>
      </c>
      <c r="E31" s="35" t="s">
        <v>38</v>
      </c>
      <c r="F31" s="35" t="s">
        <v>104</v>
      </c>
      <c r="G31" s="36" t="str">
        <f t="shared" si="0"/>
        <v>CP_030_Impresión factura de ciclo (FE*), sector ELE, tarifa 6.0TD - CA</v>
      </c>
      <c r="H31" s="35" t="s">
        <v>105</v>
      </c>
      <c r="I31" s="37"/>
      <c r="J31" s="37" t="s">
        <v>41</v>
      </c>
      <c r="K31" s="37" t="s">
        <v>42</v>
      </c>
      <c r="L31" s="37" t="s">
        <v>43</v>
      </c>
      <c r="M31" s="38" t="s">
        <v>44</v>
      </c>
      <c r="N31" s="37"/>
      <c r="O31" s="37" t="s">
        <v>45</v>
      </c>
      <c r="P31" s="37" t="s">
        <v>46</v>
      </c>
      <c r="Q31" s="110">
        <v>46013</v>
      </c>
      <c r="R31" s="110">
        <v>45666</v>
      </c>
      <c r="S31" s="110"/>
      <c r="T31" s="111" t="s">
        <v>49</v>
      </c>
    </row>
    <row r="32" spans="1:20" s="39" customFormat="1" ht="39.75" customHeight="1">
      <c r="A32" s="35" t="s">
        <v>35</v>
      </c>
      <c r="B32" s="36" t="s">
        <v>36</v>
      </c>
      <c r="C32" s="36" t="s">
        <v>37</v>
      </c>
      <c r="D32" s="35" t="s">
        <v>36</v>
      </c>
      <c r="E32" s="35" t="s">
        <v>38</v>
      </c>
      <c r="F32" s="35" t="s">
        <v>106</v>
      </c>
      <c r="G32" s="36" t="str">
        <f t="shared" si="0"/>
        <v>CP_031_Impresión factura de ciclo (FE*), sector ELE, tarifa 6.0TD - EU</v>
      </c>
      <c r="H32" s="35" t="s">
        <v>107</v>
      </c>
      <c r="I32" s="37"/>
      <c r="J32" s="37" t="s">
        <v>41</v>
      </c>
      <c r="K32" s="37" t="s">
        <v>42</v>
      </c>
      <c r="L32" s="37" t="s">
        <v>43</v>
      </c>
      <c r="M32" s="38" t="s">
        <v>44</v>
      </c>
      <c r="N32" s="37"/>
      <c r="O32" s="37" t="s">
        <v>45</v>
      </c>
      <c r="P32" s="37" t="s">
        <v>46</v>
      </c>
      <c r="Q32" s="110">
        <v>46013</v>
      </c>
      <c r="R32" s="110">
        <v>45666</v>
      </c>
      <c r="S32" s="110"/>
      <c r="T32" s="111" t="s">
        <v>49</v>
      </c>
    </row>
    <row r="33" spans="1:20" s="39" customFormat="1" ht="39.75" customHeight="1">
      <c r="A33" s="35" t="s">
        <v>35</v>
      </c>
      <c r="B33" s="36" t="s">
        <v>36</v>
      </c>
      <c r="C33" s="36" t="s">
        <v>37</v>
      </c>
      <c r="D33" s="35" t="s">
        <v>36</v>
      </c>
      <c r="E33" s="35" t="s">
        <v>38</v>
      </c>
      <c r="F33" s="35" t="s">
        <v>108</v>
      </c>
      <c r="G33" s="36" t="str">
        <f t="shared" si="0"/>
        <v>CP_032_Impresión factura de ciclo (FE*), sector ELE, tarifa 6.0TD - GA</v>
      </c>
      <c r="H33" s="35" t="s">
        <v>109</v>
      </c>
      <c r="I33" s="37"/>
      <c r="J33" s="37" t="s">
        <v>41</v>
      </c>
      <c r="K33" s="37" t="s">
        <v>42</v>
      </c>
      <c r="L33" s="37" t="s">
        <v>43</v>
      </c>
      <c r="M33" s="38" t="s">
        <v>44</v>
      </c>
      <c r="N33" s="37"/>
      <c r="O33" s="37" t="s">
        <v>45</v>
      </c>
      <c r="P33" s="37" t="s">
        <v>46</v>
      </c>
      <c r="Q33" s="110">
        <v>46013</v>
      </c>
      <c r="R33" s="110">
        <v>45666</v>
      </c>
      <c r="S33" s="110"/>
      <c r="T33" s="111" t="s">
        <v>49</v>
      </c>
    </row>
    <row r="34" spans="1:20" s="39" customFormat="1" ht="39.75" customHeight="1">
      <c r="A34" s="35" t="s">
        <v>35</v>
      </c>
      <c r="B34" s="36" t="s">
        <v>36</v>
      </c>
      <c r="C34" s="36" t="s">
        <v>37</v>
      </c>
      <c r="D34" s="35" t="s">
        <v>36</v>
      </c>
      <c r="E34" s="35" t="s">
        <v>38</v>
      </c>
      <c r="F34" s="35" t="s">
        <v>110</v>
      </c>
      <c r="G34" s="36" t="str">
        <f t="shared" si="0"/>
        <v>CP_033_Impresión Refacturación (RE*), sector ELE, tarifa 6.xTD - ES</v>
      </c>
      <c r="H34" s="35" t="s">
        <v>111</v>
      </c>
      <c r="I34" s="37"/>
      <c r="J34" s="37" t="s">
        <v>41</v>
      </c>
      <c r="K34" s="37" t="s">
        <v>42</v>
      </c>
      <c r="L34" s="37" t="s">
        <v>43</v>
      </c>
      <c r="M34" s="38" t="s">
        <v>44</v>
      </c>
      <c r="N34" s="37"/>
      <c r="O34" s="37" t="s">
        <v>45</v>
      </c>
      <c r="P34" s="37" t="s">
        <v>46</v>
      </c>
      <c r="Q34" s="110">
        <v>46013</v>
      </c>
      <c r="R34" s="110">
        <v>45666</v>
      </c>
      <c r="S34" s="110"/>
      <c r="T34" s="111"/>
    </row>
    <row r="35" spans="1:20" s="39" customFormat="1" ht="39.75" customHeight="1">
      <c r="A35" s="35" t="s">
        <v>35</v>
      </c>
      <c r="B35" s="36" t="s">
        <v>36</v>
      </c>
      <c r="C35" s="36" t="s">
        <v>37</v>
      </c>
      <c r="D35" s="35" t="s">
        <v>36</v>
      </c>
      <c r="E35" s="35" t="s">
        <v>38</v>
      </c>
      <c r="F35" s="35" t="s">
        <v>112</v>
      </c>
      <c r="G35" s="36" t="str">
        <f t="shared" si="0"/>
        <v>CP_034_Impresión Refacturación (RE*), sector ELE, tarifa 6.xTD - CA</v>
      </c>
      <c r="H35" s="35" t="s">
        <v>113</v>
      </c>
      <c r="I35" s="37"/>
      <c r="J35" s="37" t="s">
        <v>41</v>
      </c>
      <c r="K35" s="37" t="s">
        <v>42</v>
      </c>
      <c r="L35" s="37" t="s">
        <v>43</v>
      </c>
      <c r="M35" s="38" t="s">
        <v>44</v>
      </c>
      <c r="N35" s="37"/>
      <c r="O35" s="37" t="s">
        <v>45</v>
      </c>
      <c r="P35" s="37" t="s">
        <v>46</v>
      </c>
      <c r="Q35" s="110">
        <v>46013</v>
      </c>
      <c r="R35" s="110">
        <v>45666</v>
      </c>
      <c r="S35" s="110"/>
      <c r="T35" s="111" t="s">
        <v>49</v>
      </c>
    </row>
    <row r="36" spans="1:20" s="39" customFormat="1" ht="39.75" customHeight="1">
      <c r="A36" s="35" t="s">
        <v>35</v>
      </c>
      <c r="B36" s="36" t="s">
        <v>36</v>
      </c>
      <c r="C36" s="36" t="s">
        <v>37</v>
      </c>
      <c r="D36" s="35" t="s">
        <v>36</v>
      </c>
      <c r="E36" s="35" t="s">
        <v>38</v>
      </c>
      <c r="F36" s="35" t="s">
        <v>114</v>
      </c>
      <c r="G36" s="36" t="str">
        <f t="shared" si="0"/>
        <v>CP_035_Impresión Refacturación (RE*), sector ELE, tarifa 6.xTD - EU</v>
      </c>
      <c r="H36" s="35" t="s">
        <v>115</v>
      </c>
      <c r="I36" s="37"/>
      <c r="J36" s="37" t="s">
        <v>41</v>
      </c>
      <c r="K36" s="37" t="s">
        <v>42</v>
      </c>
      <c r="L36" s="37" t="s">
        <v>43</v>
      </c>
      <c r="M36" s="38" t="s">
        <v>44</v>
      </c>
      <c r="N36" s="37"/>
      <c r="O36" s="37" t="s">
        <v>45</v>
      </c>
      <c r="P36" s="37" t="s">
        <v>46</v>
      </c>
      <c r="Q36" s="110">
        <v>46013</v>
      </c>
      <c r="R36" s="110">
        <v>45666</v>
      </c>
      <c r="S36" s="110"/>
      <c r="T36" s="111" t="s">
        <v>49</v>
      </c>
    </row>
    <row r="37" spans="1:20" s="39" customFormat="1" ht="39.75" customHeight="1">
      <c r="A37" s="35" t="s">
        <v>35</v>
      </c>
      <c r="B37" s="36" t="s">
        <v>36</v>
      </c>
      <c r="C37" s="36" t="s">
        <v>37</v>
      </c>
      <c r="D37" s="35" t="s">
        <v>36</v>
      </c>
      <c r="E37" s="35" t="s">
        <v>38</v>
      </c>
      <c r="F37" s="35" t="s">
        <v>116</v>
      </c>
      <c r="G37" s="36" t="str">
        <f t="shared" si="0"/>
        <v>CP_036_Impresión Refacturación (RE*), sector ELE, tarifa 6.xTD - GA</v>
      </c>
      <c r="H37" s="35" t="s">
        <v>117</v>
      </c>
      <c r="I37" s="37"/>
      <c r="J37" s="37" t="s">
        <v>41</v>
      </c>
      <c r="K37" s="37" t="s">
        <v>42</v>
      </c>
      <c r="L37" s="37" t="s">
        <v>43</v>
      </c>
      <c r="M37" s="38" t="s">
        <v>44</v>
      </c>
      <c r="N37" s="37"/>
      <c r="O37" s="37" t="s">
        <v>45</v>
      </c>
      <c r="P37" s="37" t="s">
        <v>46</v>
      </c>
      <c r="Q37" s="110">
        <v>46013</v>
      </c>
      <c r="R37" s="110">
        <v>45666</v>
      </c>
      <c r="S37" s="110"/>
      <c r="T37" s="111" t="s">
        <v>49</v>
      </c>
    </row>
    <row r="38" spans="1:20" s="39" customFormat="1" ht="39.75" customHeight="1">
      <c r="A38" s="35" t="s">
        <v>35</v>
      </c>
      <c r="B38" s="36" t="s">
        <v>36</v>
      </c>
      <c r="C38" s="36" t="s">
        <v>37</v>
      </c>
      <c r="D38" s="35" t="s">
        <v>36</v>
      </c>
      <c r="E38" s="35" t="s">
        <v>38</v>
      </c>
      <c r="F38" s="35" t="s">
        <v>118</v>
      </c>
      <c r="G38" s="36" t="str">
        <f t="shared" si="0"/>
        <v>CP_037_Impresión  factura de anulación (SU*), sector ELE, tarifa 6.xTD - ES</v>
      </c>
      <c r="H38" s="35" t="s">
        <v>119</v>
      </c>
      <c r="I38" s="37"/>
      <c r="J38" s="37" t="s">
        <v>41</v>
      </c>
      <c r="K38" s="37" t="s">
        <v>42</v>
      </c>
      <c r="L38" s="37" t="s">
        <v>43</v>
      </c>
      <c r="M38" s="38" t="s">
        <v>44</v>
      </c>
      <c r="N38" s="37"/>
      <c r="O38" s="37" t="s">
        <v>45</v>
      </c>
      <c r="P38" s="37" t="s">
        <v>46</v>
      </c>
      <c r="Q38" s="110">
        <v>46013</v>
      </c>
      <c r="R38" s="110">
        <v>45666</v>
      </c>
      <c r="S38" s="110"/>
      <c r="T38" s="111"/>
    </row>
    <row r="39" spans="1:20" s="39" customFormat="1" ht="39.75" customHeight="1">
      <c r="A39" s="35" t="s">
        <v>35</v>
      </c>
      <c r="B39" s="36" t="s">
        <v>36</v>
      </c>
      <c r="C39" s="36" t="s">
        <v>37</v>
      </c>
      <c r="D39" s="35" t="s">
        <v>36</v>
      </c>
      <c r="E39" s="35" t="s">
        <v>38</v>
      </c>
      <c r="F39" s="35" t="s">
        <v>120</v>
      </c>
      <c r="G39" s="36" t="str">
        <f t="shared" si="0"/>
        <v>CP_038_Impresión  factura de anulación (SU*), sector ELE, tarifa 6.xTD - CA</v>
      </c>
      <c r="H39" s="35" t="s">
        <v>121</v>
      </c>
      <c r="I39" s="37"/>
      <c r="J39" s="37" t="s">
        <v>41</v>
      </c>
      <c r="K39" s="37" t="s">
        <v>42</v>
      </c>
      <c r="L39" s="37" t="s">
        <v>43</v>
      </c>
      <c r="M39" s="38" t="s">
        <v>44</v>
      </c>
      <c r="N39" s="37"/>
      <c r="O39" s="37" t="s">
        <v>45</v>
      </c>
      <c r="P39" s="37" t="s">
        <v>46</v>
      </c>
      <c r="Q39" s="110">
        <v>46013</v>
      </c>
      <c r="R39" s="110">
        <v>45666</v>
      </c>
      <c r="S39" s="110"/>
      <c r="T39" s="111" t="s">
        <v>49</v>
      </c>
    </row>
    <row r="40" spans="1:20" s="39" customFormat="1" ht="39.75" customHeight="1">
      <c r="A40" s="35" t="s">
        <v>35</v>
      </c>
      <c r="B40" s="36" t="s">
        <v>36</v>
      </c>
      <c r="C40" s="36" t="s">
        <v>37</v>
      </c>
      <c r="D40" s="35" t="s">
        <v>36</v>
      </c>
      <c r="E40" s="35" t="s">
        <v>38</v>
      </c>
      <c r="F40" s="35" t="s">
        <v>122</v>
      </c>
      <c r="G40" s="36" t="str">
        <f t="shared" si="0"/>
        <v>CP_039_Impresión  factura de anulación (SU*), sector ELE, tarifa 6.xTD - EU</v>
      </c>
      <c r="H40" s="35" t="s">
        <v>123</v>
      </c>
      <c r="I40" s="37"/>
      <c r="J40" s="37" t="s">
        <v>41</v>
      </c>
      <c r="K40" s="37" t="s">
        <v>42</v>
      </c>
      <c r="L40" s="37" t="s">
        <v>43</v>
      </c>
      <c r="M40" s="38" t="s">
        <v>44</v>
      </c>
      <c r="N40" s="37"/>
      <c r="O40" s="37" t="s">
        <v>45</v>
      </c>
      <c r="P40" s="37" t="s">
        <v>46</v>
      </c>
      <c r="Q40" s="110">
        <v>46013</v>
      </c>
      <c r="R40" s="110">
        <v>45666</v>
      </c>
      <c r="S40" s="110"/>
      <c r="T40" s="111" t="s">
        <v>49</v>
      </c>
    </row>
    <row r="41" spans="1:20" s="39" customFormat="1" ht="39.75" customHeight="1">
      <c r="A41" s="35" t="s">
        <v>35</v>
      </c>
      <c r="B41" s="36" t="s">
        <v>36</v>
      </c>
      <c r="C41" s="36" t="s">
        <v>37</v>
      </c>
      <c r="D41" s="35" t="s">
        <v>36</v>
      </c>
      <c r="E41" s="35" t="s">
        <v>38</v>
      </c>
      <c r="F41" s="35" t="s">
        <v>124</v>
      </c>
      <c r="G41" s="36" t="str">
        <f t="shared" si="0"/>
        <v>CP_040_Impresión  factura de anulación (SU*), sector ELE, tarifa 6.xTD - GA</v>
      </c>
      <c r="H41" s="35" t="s">
        <v>125</v>
      </c>
      <c r="I41" s="37"/>
      <c r="J41" s="37" t="s">
        <v>41</v>
      </c>
      <c r="K41" s="37" t="s">
        <v>42</v>
      </c>
      <c r="L41" s="37" t="s">
        <v>43</v>
      </c>
      <c r="M41" s="38" t="s">
        <v>44</v>
      </c>
      <c r="N41" s="37"/>
      <c r="O41" s="37" t="s">
        <v>45</v>
      </c>
      <c r="P41" s="37" t="s">
        <v>46</v>
      </c>
      <c r="Q41" s="110">
        <v>46013</v>
      </c>
      <c r="R41" s="110">
        <v>45666</v>
      </c>
      <c r="S41" s="110"/>
      <c r="T41" s="111" t="s">
        <v>49</v>
      </c>
    </row>
    <row r="42" spans="1:20" s="39" customFormat="1" ht="39.75" customHeight="1">
      <c r="A42" s="35" t="s">
        <v>35</v>
      </c>
      <c r="B42" s="36" t="s">
        <v>36</v>
      </c>
      <c r="C42" s="36" t="s">
        <v>37</v>
      </c>
      <c r="D42" s="35" t="s">
        <v>36</v>
      </c>
      <c r="E42" s="35" t="s">
        <v>38</v>
      </c>
      <c r="F42" s="35" t="s">
        <v>126</v>
      </c>
      <c r="G42" s="36" t="str">
        <f t="shared" si="0"/>
        <v>CP_041_Impresión factura de ciclo (FE*), sector GAS - ES</v>
      </c>
      <c r="H42" s="35" t="s">
        <v>127</v>
      </c>
      <c r="I42" s="36"/>
      <c r="J42" s="37" t="s">
        <v>41</v>
      </c>
      <c r="K42" s="37" t="s">
        <v>42</v>
      </c>
      <c r="L42" s="37" t="s">
        <v>43</v>
      </c>
      <c r="M42" s="38" t="s">
        <v>44</v>
      </c>
      <c r="N42" s="37"/>
      <c r="O42" s="37" t="s">
        <v>45</v>
      </c>
      <c r="P42" s="37" t="s">
        <v>46</v>
      </c>
      <c r="Q42" s="110">
        <v>46013</v>
      </c>
      <c r="R42" s="110">
        <v>45666</v>
      </c>
      <c r="S42" s="110"/>
      <c r="T42" s="111"/>
    </row>
    <row r="43" spans="1:20" s="39" customFormat="1" ht="39.75" customHeight="1">
      <c r="A43" s="35" t="s">
        <v>35</v>
      </c>
      <c r="B43" s="36" t="s">
        <v>36</v>
      </c>
      <c r="C43" s="36" t="s">
        <v>37</v>
      </c>
      <c r="D43" s="35" t="s">
        <v>36</v>
      </c>
      <c r="E43" s="35" t="s">
        <v>38</v>
      </c>
      <c r="F43" s="35" t="s">
        <v>128</v>
      </c>
      <c r="G43" s="36" t="str">
        <f t="shared" si="0"/>
        <v>CP_042_Impresión factura de ciclo (FE*), sector GAS - CA</v>
      </c>
      <c r="H43" s="35" t="s">
        <v>129</v>
      </c>
      <c r="I43" s="36"/>
      <c r="J43" s="37" t="s">
        <v>41</v>
      </c>
      <c r="K43" s="37" t="s">
        <v>42</v>
      </c>
      <c r="L43" s="37" t="s">
        <v>43</v>
      </c>
      <c r="M43" s="38" t="s">
        <v>44</v>
      </c>
      <c r="N43" s="37"/>
      <c r="O43" s="37" t="s">
        <v>45</v>
      </c>
      <c r="P43" s="37" t="s">
        <v>46</v>
      </c>
      <c r="Q43" s="110">
        <v>46013</v>
      </c>
      <c r="R43" s="110">
        <v>45666</v>
      </c>
      <c r="S43" s="110"/>
      <c r="T43" s="111" t="s">
        <v>49</v>
      </c>
    </row>
    <row r="44" spans="1:20" s="39" customFormat="1" ht="39.75" customHeight="1">
      <c r="A44" s="35" t="s">
        <v>35</v>
      </c>
      <c r="B44" s="36" t="s">
        <v>36</v>
      </c>
      <c r="C44" s="36" t="s">
        <v>37</v>
      </c>
      <c r="D44" s="35" t="s">
        <v>36</v>
      </c>
      <c r="E44" s="35" t="s">
        <v>38</v>
      </c>
      <c r="F44" s="35" t="s">
        <v>130</v>
      </c>
      <c r="G44" s="36" t="str">
        <f t="shared" si="0"/>
        <v>CP_043_Impresión factura de ciclo (FE*), sector GAS - EU</v>
      </c>
      <c r="H44" s="35" t="s">
        <v>131</v>
      </c>
      <c r="I44" s="36"/>
      <c r="J44" s="37" t="s">
        <v>41</v>
      </c>
      <c r="K44" s="37" t="s">
        <v>42</v>
      </c>
      <c r="L44" s="37" t="s">
        <v>43</v>
      </c>
      <c r="M44" s="38" t="s">
        <v>44</v>
      </c>
      <c r="N44" s="37"/>
      <c r="O44" s="37" t="s">
        <v>45</v>
      </c>
      <c r="P44" s="37" t="s">
        <v>46</v>
      </c>
      <c r="Q44" s="110">
        <v>46013</v>
      </c>
      <c r="R44" s="110">
        <v>45666</v>
      </c>
      <c r="S44" s="110"/>
      <c r="T44" s="111" t="s">
        <v>49</v>
      </c>
    </row>
    <row r="45" spans="1:20" s="39" customFormat="1" ht="39.75" customHeight="1">
      <c r="A45" s="35" t="s">
        <v>35</v>
      </c>
      <c r="B45" s="36" t="s">
        <v>36</v>
      </c>
      <c r="C45" s="36" t="s">
        <v>37</v>
      </c>
      <c r="D45" s="35" t="s">
        <v>36</v>
      </c>
      <c r="E45" s="35" t="s">
        <v>38</v>
      </c>
      <c r="F45" s="35" t="s">
        <v>132</v>
      </c>
      <c r="G45" s="36" t="str">
        <f t="shared" si="0"/>
        <v>CP_044_Impresión factura de ciclo (FE*), sector GAS - GA</v>
      </c>
      <c r="H45" s="35" t="s">
        <v>133</v>
      </c>
      <c r="I45" s="36"/>
      <c r="J45" s="37" t="s">
        <v>41</v>
      </c>
      <c r="K45" s="37" t="s">
        <v>42</v>
      </c>
      <c r="L45" s="37" t="s">
        <v>43</v>
      </c>
      <c r="M45" s="38" t="s">
        <v>44</v>
      </c>
      <c r="N45" s="37"/>
      <c r="O45" s="37" t="s">
        <v>45</v>
      </c>
      <c r="P45" s="37" t="s">
        <v>46</v>
      </c>
      <c r="Q45" s="110">
        <v>46013</v>
      </c>
      <c r="R45" s="110">
        <v>45666</v>
      </c>
      <c r="S45" s="110"/>
      <c r="T45" s="111" t="s">
        <v>49</v>
      </c>
    </row>
    <row r="46" spans="1:20" s="39" customFormat="1" ht="39.75" customHeight="1">
      <c r="A46" s="35" t="s">
        <v>35</v>
      </c>
      <c r="B46" s="36" t="s">
        <v>36</v>
      </c>
      <c r="C46" s="36" t="s">
        <v>37</v>
      </c>
      <c r="D46" s="35" t="s">
        <v>36</v>
      </c>
      <c r="E46" s="35" t="s">
        <v>38</v>
      </c>
      <c r="F46" s="35" t="s">
        <v>134</v>
      </c>
      <c r="G46" s="36" t="str">
        <f t="shared" si="0"/>
        <v>CP_045_Impresión Refacturación (RE*), sector GAS - ES</v>
      </c>
      <c r="H46" s="35" t="s">
        <v>135</v>
      </c>
      <c r="I46" s="36"/>
      <c r="J46" s="37" t="s">
        <v>41</v>
      </c>
      <c r="K46" s="37" t="s">
        <v>136</v>
      </c>
      <c r="L46" s="37" t="s">
        <v>43</v>
      </c>
      <c r="M46" s="38" t="s">
        <v>44</v>
      </c>
      <c r="N46" s="37"/>
      <c r="O46" s="37" t="s">
        <v>45</v>
      </c>
      <c r="P46" s="37" t="s">
        <v>46</v>
      </c>
      <c r="Q46" s="110">
        <v>46013</v>
      </c>
      <c r="R46" s="110">
        <v>45666</v>
      </c>
      <c r="S46" s="110"/>
      <c r="T46" s="111"/>
    </row>
    <row r="47" spans="1:20" s="39" customFormat="1" ht="39.75" customHeight="1">
      <c r="A47" s="35" t="s">
        <v>35</v>
      </c>
      <c r="B47" s="36" t="s">
        <v>36</v>
      </c>
      <c r="C47" s="36" t="s">
        <v>37</v>
      </c>
      <c r="D47" s="35" t="s">
        <v>36</v>
      </c>
      <c r="E47" s="35" t="s">
        <v>38</v>
      </c>
      <c r="F47" s="35" t="s">
        <v>137</v>
      </c>
      <c r="G47" s="36" t="str">
        <f t="shared" si="0"/>
        <v>CP_046_Impresión Refacturación (RE*), sector GAS - CA</v>
      </c>
      <c r="H47" s="35" t="s">
        <v>138</v>
      </c>
      <c r="I47" s="36"/>
      <c r="J47" s="37" t="s">
        <v>41</v>
      </c>
      <c r="K47" s="37" t="s">
        <v>136</v>
      </c>
      <c r="L47" s="37" t="s">
        <v>43</v>
      </c>
      <c r="M47" s="38" t="s">
        <v>44</v>
      </c>
      <c r="N47" s="37"/>
      <c r="O47" s="37" t="s">
        <v>45</v>
      </c>
      <c r="P47" s="37" t="s">
        <v>46</v>
      </c>
      <c r="Q47" s="110">
        <v>46013</v>
      </c>
      <c r="R47" s="110">
        <v>45666</v>
      </c>
      <c r="S47" s="110"/>
      <c r="T47" s="111" t="s">
        <v>49</v>
      </c>
    </row>
    <row r="48" spans="1:20" s="39" customFormat="1" ht="39.75" customHeight="1">
      <c r="A48" s="35" t="s">
        <v>35</v>
      </c>
      <c r="B48" s="36" t="s">
        <v>36</v>
      </c>
      <c r="C48" s="36" t="s">
        <v>37</v>
      </c>
      <c r="D48" s="35" t="s">
        <v>36</v>
      </c>
      <c r="E48" s="35" t="s">
        <v>38</v>
      </c>
      <c r="F48" s="35" t="s">
        <v>139</v>
      </c>
      <c r="G48" s="36" t="str">
        <f t="shared" si="0"/>
        <v>CP_047_Impresión Refacturación (RE*), sector GAS - EU</v>
      </c>
      <c r="H48" s="35" t="s">
        <v>140</v>
      </c>
      <c r="I48" s="36"/>
      <c r="J48" s="37" t="s">
        <v>41</v>
      </c>
      <c r="K48" s="37" t="s">
        <v>136</v>
      </c>
      <c r="L48" s="37" t="s">
        <v>43</v>
      </c>
      <c r="M48" s="38" t="s">
        <v>44</v>
      </c>
      <c r="N48" s="37"/>
      <c r="O48" s="37" t="s">
        <v>45</v>
      </c>
      <c r="P48" s="37" t="s">
        <v>46</v>
      </c>
      <c r="Q48" s="110">
        <v>46013</v>
      </c>
      <c r="R48" s="110">
        <v>45666</v>
      </c>
      <c r="S48" s="110"/>
      <c r="T48" s="111" t="s">
        <v>49</v>
      </c>
    </row>
    <row r="49" spans="1:20" s="39" customFormat="1" ht="39.75" customHeight="1">
      <c r="A49" s="35" t="s">
        <v>35</v>
      </c>
      <c r="B49" s="36" t="s">
        <v>36</v>
      </c>
      <c r="C49" s="36" t="s">
        <v>37</v>
      </c>
      <c r="D49" s="35" t="s">
        <v>36</v>
      </c>
      <c r="E49" s="35" t="s">
        <v>38</v>
      </c>
      <c r="F49" s="35" t="s">
        <v>141</v>
      </c>
      <c r="G49" s="36" t="str">
        <f t="shared" si="0"/>
        <v>CP_048_Impresión Refacturación (RE*), sector GAS - GA</v>
      </c>
      <c r="H49" s="35" t="s">
        <v>142</v>
      </c>
      <c r="I49" s="36"/>
      <c r="J49" s="37" t="s">
        <v>41</v>
      </c>
      <c r="K49" s="37" t="s">
        <v>136</v>
      </c>
      <c r="L49" s="37" t="s">
        <v>43</v>
      </c>
      <c r="M49" s="38" t="s">
        <v>44</v>
      </c>
      <c r="N49" s="37"/>
      <c r="O49" s="37" t="s">
        <v>45</v>
      </c>
      <c r="P49" s="37" t="s">
        <v>46</v>
      </c>
      <c r="Q49" s="110">
        <v>46013</v>
      </c>
      <c r="R49" s="110">
        <v>45666</v>
      </c>
      <c r="S49" s="110"/>
      <c r="T49" s="111" t="s">
        <v>49</v>
      </c>
    </row>
    <row r="50" spans="1:20" s="39" customFormat="1" ht="39.75" customHeight="1">
      <c r="A50" s="35" t="s">
        <v>35</v>
      </c>
      <c r="B50" s="36" t="s">
        <v>36</v>
      </c>
      <c r="C50" s="36" t="s">
        <v>37</v>
      </c>
      <c r="D50" s="35" t="s">
        <v>36</v>
      </c>
      <c r="E50" s="35" t="s">
        <v>38</v>
      </c>
      <c r="F50" s="35" t="s">
        <v>143</v>
      </c>
      <c r="G50" s="36" t="str">
        <f t="shared" si="0"/>
        <v>CP_049_Impresión  factura de anulación (SU*),sector GAS - ES</v>
      </c>
      <c r="H50" s="35" t="s">
        <v>144</v>
      </c>
      <c r="I50" s="36"/>
      <c r="J50" s="37" t="s">
        <v>41</v>
      </c>
      <c r="K50" s="37" t="s">
        <v>136</v>
      </c>
      <c r="L50" s="37" t="s">
        <v>43</v>
      </c>
      <c r="M50" s="38" t="s">
        <v>44</v>
      </c>
      <c r="N50" s="37"/>
      <c r="O50" s="37" t="s">
        <v>45</v>
      </c>
      <c r="P50" s="37" t="s">
        <v>46</v>
      </c>
      <c r="Q50" s="110">
        <v>46013</v>
      </c>
      <c r="R50" s="110">
        <v>45666</v>
      </c>
      <c r="S50" s="110"/>
      <c r="T50" s="111"/>
    </row>
    <row r="51" spans="1:20" s="39" customFormat="1" ht="39.75" customHeight="1">
      <c r="A51" s="35" t="s">
        <v>35</v>
      </c>
      <c r="B51" s="36" t="s">
        <v>36</v>
      </c>
      <c r="C51" s="36" t="s">
        <v>37</v>
      </c>
      <c r="D51" s="35" t="s">
        <v>36</v>
      </c>
      <c r="E51" s="35" t="s">
        <v>38</v>
      </c>
      <c r="F51" s="35" t="s">
        <v>145</v>
      </c>
      <c r="G51" s="36" t="str">
        <f t="shared" si="0"/>
        <v>CP_050_Impresión  factura de anulación (SU*),sector GAS - CA</v>
      </c>
      <c r="H51" s="35" t="s">
        <v>146</v>
      </c>
      <c r="I51" s="36"/>
      <c r="J51" s="37" t="s">
        <v>41</v>
      </c>
      <c r="K51" s="37" t="s">
        <v>136</v>
      </c>
      <c r="L51" s="37" t="s">
        <v>43</v>
      </c>
      <c r="M51" s="38" t="s">
        <v>44</v>
      </c>
      <c r="N51" s="37"/>
      <c r="O51" s="37" t="s">
        <v>45</v>
      </c>
      <c r="P51" s="37" t="s">
        <v>46</v>
      </c>
      <c r="Q51" s="110">
        <v>46013</v>
      </c>
      <c r="R51" s="110">
        <v>45666</v>
      </c>
      <c r="S51" s="110"/>
      <c r="T51" s="111" t="s">
        <v>49</v>
      </c>
    </row>
    <row r="52" spans="1:20" s="39" customFormat="1" ht="39.75" customHeight="1">
      <c r="A52" s="35" t="s">
        <v>35</v>
      </c>
      <c r="B52" s="36" t="s">
        <v>36</v>
      </c>
      <c r="C52" s="36" t="s">
        <v>37</v>
      </c>
      <c r="D52" s="35" t="s">
        <v>36</v>
      </c>
      <c r="E52" s="35" t="s">
        <v>38</v>
      </c>
      <c r="F52" s="35" t="s">
        <v>147</v>
      </c>
      <c r="G52" s="36" t="str">
        <f t="shared" si="0"/>
        <v>CP_051_Impresión  factura de anulación (SU*),sector GAS - EU</v>
      </c>
      <c r="H52" s="35" t="s">
        <v>148</v>
      </c>
      <c r="I52" s="36"/>
      <c r="J52" s="37" t="s">
        <v>41</v>
      </c>
      <c r="K52" s="37" t="s">
        <v>136</v>
      </c>
      <c r="L52" s="37" t="s">
        <v>43</v>
      </c>
      <c r="M52" s="38" t="s">
        <v>44</v>
      </c>
      <c r="N52" s="37"/>
      <c r="O52" s="37" t="s">
        <v>45</v>
      </c>
      <c r="P52" s="37" t="s">
        <v>46</v>
      </c>
      <c r="Q52" s="110">
        <v>46013</v>
      </c>
      <c r="R52" s="110">
        <v>45666</v>
      </c>
      <c r="S52" s="110"/>
      <c r="T52" s="111" t="s">
        <v>49</v>
      </c>
    </row>
    <row r="53" spans="1:20" s="39" customFormat="1" ht="39.75" customHeight="1">
      <c r="A53" s="35" t="s">
        <v>35</v>
      </c>
      <c r="B53" s="36" t="s">
        <v>36</v>
      </c>
      <c r="C53" s="36" t="s">
        <v>37</v>
      </c>
      <c r="D53" s="35" t="s">
        <v>36</v>
      </c>
      <c r="E53" s="35" t="s">
        <v>38</v>
      </c>
      <c r="F53" s="35" t="s">
        <v>149</v>
      </c>
      <c r="G53" s="36" t="str">
        <f t="shared" si="0"/>
        <v>CP_052_Impresión  factura de anulación (SU*),sector GAS - GA</v>
      </c>
      <c r="H53" s="35" t="s">
        <v>150</v>
      </c>
      <c r="I53" s="36"/>
      <c r="J53" s="37" t="s">
        <v>41</v>
      </c>
      <c r="K53" s="37" t="s">
        <v>136</v>
      </c>
      <c r="L53" s="37" t="s">
        <v>43</v>
      </c>
      <c r="M53" s="38" t="s">
        <v>44</v>
      </c>
      <c r="N53" s="37"/>
      <c r="O53" s="37" t="s">
        <v>45</v>
      </c>
      <c r="P53" s="37" t="s">
        <v>46</v>
      </c>
      <c r="Q53" s="110">
        <v>46013</v>
      </c>
      <c r="R53" s="110">
        <v>45666</v>
      </c>
      <c r="S53" s="110"/>
      <c r="T53" s="111" t="s">
        <v>49</v>
      </c>
    </row>
    <row r="54" spans="1:20" s="39" customFormat="1" ht="39.75" customHeight="1">
      <c r="A54" s="35" t="s">
        <v>35</v>
      </c>
      <c r="B54" s="36" t="s">
        <v>36</v>
      </c>
      <c r="C54" s="36" t="s">
        <v>37</v>
      </c>
      <c r="D54" s="35" t="s">
        <v>36</v>
      </c>
      <c r="E54" s="35" t="s">
        <v>38</v>
      </c>
      <c r="F54" s="35" t="s">
        <v>151</v>
      </c>
      <c r="G54" s="36" t="str">
        <f t="shared" si="0"/>
        <v>CP_053_Impresión factura de Ajuste (AE*), sector GAS - ES</v>
      </c>
      <c r="H54" s="35" t="s">
        <v>152</v>
      </c>
      <c r="I54" s="36"/>
      <c r="J54" s="37" t="s">
        <v>41</v>
      </c>
      <c r="K54" s="37" t="s">
        <v>136</v>
      </c>
      <c r="L54" s="37" t="s">
        <v>43</v>
      </c>
      <c r="M54" s="38" t="s">
        <v>44</v>
      </c>
      <c r="N54" s="37"/>
      <c r="O54" s="37" t="s">
        <v>45</v>
      </c>
      <c r="P54" s="37" t="s">
        <v>46</v>
      </c>
      <c r="Q54" s="110">
        <v>46013</v>
      </c>
      <c r="R54" s="110">
        <v>45666</v>
      </c>
      <c r="S54" s="110">
        <v>46027</v>
      </c>
      <c r="T54" s="111"/>
    </row>
    <row r="55" spans="1:20" s="39" customFormat="1" ht="39.75" customHeight="1">
      <c r="A55" s="35" t="s">
        <v>35</v>
      </c>
      <c r="B55" s="36" t="s">
        <v>36</v>
      </c>
      <c r="C55" s="36" t="s">
        <v>37</v>
      </c>
      <c r="D55" s="35" t="s">
        <v>36</v>
      </c>
      <c r="E55" s="35" t="s">
        <v>38</v>
      </c>
      <c r="F55" s="35" t="s">
        <v>153</v>
      </c>
      <c r="G55" s="36" t="str">
        <f t="shared" si="0"/>
        <v>CP_054_Impresión factura de Ajuste (AE*), sector GAS - CA</v>
      </c>
      <c r="H55" s="35" t="s">
        <v>154</v>
      </c>
      <c r="I55" s="36"/>
      <c r="J55" s="37" t="s">
        <v>41</v>
      </c>
      <c r="K55" s="37" t="s">
        <v>136</v>
      </c>
      <c r="L55" s="37" t="s">
        <v>43</v>
      </c>
      <c r="M55" s="38" t="s">
        <v>44</v>
      </c>
      <c r="N55" s="37"/>
      <c r="O55" s="37" t="s">
        <v>45</v>
      </c>
      <c r="P55" s="37" t="s">
        <v>46</v>
      </c>
      <c r="Q55" s="110">
        <v>46013</v>
      </c>
      <c r="R55" s="110">
        <v>45666</v>
      </c>
      <c r="S55" s="110"/>
      <c r="T55" s="111" t="s">
        <v>49</v>
      </c>
    </row>
    <row r="56" spans="1:20" s="39" customFormat="1" ht="39.75" customHeight="1">
      <c r="A56" s="35" t="s">
        <v>35</v>
      </c>
      <c r="B56" s="36" t="s">
        <v>36</v>
      </c>
      <c r="C56" s="36" t="s">
        <v>37</v>
      </c>
      <c r="D56" s="35" t="s">
        <v>36</v>
      </c>
      <c r="E56" s="35" t="s">
        <v>38</v>
      </c>
      <c r="F56" s="35" t="s">
        <v>155</v>
      </c>
      <c r="G56" s="36" t="str">
        <f t="shared" si="0"/>
        <v>CP_055_Impresión factura de Ajuste (AE*), sector GAS - EU</v>
      </c>
      <c r="H56" s="35" t="s">
        <v>156</v>
      </c>
      <c r="I56" s="36"/>
      <c r="J56" s="37" t="s">
        <v>41</v>
      </c>
      <c r="K56" s="37" t="s">
        <v>136</v>
      </c>
      <c r="L56" s="37" t="s">
        <v>43</v>
      </c>
      <c r="M56" s="38" t="s">
        <v>44</v>
      </c>
      <c r="N56" s="37"/>
      <c r="O56" s="37" t="s">
        <v>45</v>
      </c>
      <c r="P56" s="37" t="s">
        <v>46</v>
      </c>
      <c r="Q56" s="110">
        <v>46013</v>
      </c>
      <c r="R56" s="110">
        <v>45666</v>
      </c>
      <c r="S56" s="110"/>
      <c r="T56" s="111" t="s">
        <v>49</v>
      </c>
    </row>
    <row r="57" spans="1:20" s="39" customFormat="1" ht="39.75" customHeight="1">
      <c r="A57" s="35" t="s">
        <v>35</v>
      </c>
      <c r="B57" s="36" t="s">
        <v>36</v>
      </c>
      <c r="C57" s="36" t="s">
        <v>37</v>
      </c>
      <c r="D57" s="35" t="s">
        <v>36</v>
      </c>
      <c r="E57" s="35" t="s">
        <v>38</v>
      </c>
      <c r="F57" s="35" t="s">
        <v>157</v>
      </c>
      <c r="G57" s="36" t="str">
        <f t="shared" si="0"/>
        <v>CP_056_Impresión factura de Ajuste (AE*), sector GAS - GA</v>
      </c>
      <c r="H57" s="35" t="s">
        <v>158</v>
      </c>
      <c r="I57" s="36"/>
      <c r="J57" s="37" t="s">
        <v>41</v>
      </c>
      <c r="K57" s="37" t="s">
        <v>136</v>
      </c>
      <c r="L57" s="37" t="s">
        <v>43</v>
      </c>
      <c r="M57" s="38" t="s">
        <v>44</v>
      </c>
      <c r="N57" s="37"/>
      <c r="O57" s="37" t="s">
        <v>45</v>
      </c>
      <c r="P57" s="37" t="s">
        <v>46</v>
      </c>
      <c r="Q57" s="110">
        <v>46013</v>
      </c>
      <c r="R57" s="110">
        <v>45666</v>
      </c>
      <c r="S57" s="110"/>
      <c r="T57" s="111" t="s">
        <v>49</v>
      </c>
    </row>
    <row r="58" spans="1:20" s="39" customFormat="1" ht="39.75" customHeight="1">
      <c r="A58" s="35" t="s">
        <v>35</v>
      </c>
      <c r="B58" s="36" t="s">
        <v>36</v>
      </c>
      <c r="C58" s="36" t="s">
        <v>37</v>
      </c>
      <c r="D58" s="35" t="s">
        <v>36</v>
      </c>
      <c r="E58" s="35" t="s">
        <v>38</v>
      </c>
      <c r="F58" s="35" t="s">
        <v>159</v>
      </c>
      <c r="G58" s="36" t="str">
        <f t="shared" si="0"/>
        <v>CP_057_Impresión factura de empleado - ES</v>
      </c>
      <c r="H58" s="35" t="s">
        <v>160</v>
      </c>
      <c r="I58" s="36"/>
      <c r="J58" s="37" t="s">
        <v>41</v>
      </c>
      <c r="K58" s="37" t="s">
        <v>42</v>
      </c>
      <c r="L58" s="37" t="s">
        <v>43</v>
      </c>
      <c r="M58" s="38" t="s">
        <v>44</v>
      </c>
      <c r="N58" s="37"/>
      <c r="O58" s="37" t="s">
        <v>45</v>
      </c>
      <c r="P58" s="37" t="s">
        <v>46</v>
      </c>
      <c r="Q58" s="110">
        <v>46013</v>
      </c>
      <c r="R58" s="110">
        <v>45666</v>
      </c>
      <c r="S58" s="110"/>
      <c r="T58" s="111"/>
    </row>
    <row r="59" spans="1:20" s="39" customFormat="1" ht="39.75" customHeight="1">
      <c r="A59" s="35" t="s">
        <v>35</v>
      </c>
      <c r="B59" s="36" t="s">
        <v>36</v>
      </c>
      <c r="C59" s="36" t="s">
        <v>37</v>
      </c>
      <c r="D59" s="35" t="s">
        <v>36</v>
      </c>
      <c r="E59" s="35" t="s">
        <v>38</v>
      </c>
      <c r="F59" s="35" t="s">
        <v>161</v>
      </c>
      <c r="G59" s="36" t="str">
        <f t="shared" si="0"/>
        <v>CP_058_Impresión factura de empleado - CA</v>
      </c>
      <c r="H59" s="35" t="s">
        <v>162</v>
      </c>
      <c r="I59" s="36"/>
      <c r="J59" s="37" t="s">
        <v>41</v>
      </c>
      <c r="K59" s="37" t="s">
        <v>42</v>
      </c>
      <c r="L59" s="37" t="s">
        <v>43</v>
      </c>
      <c r="M59" s="38" t="s">
        <v>44</v>
      </c>
      <c r="N59" s="37"/>
      <c r="O59" s="37" t="s">
        <v>45</v>
      </c>
      <c r="P59" s="37" t="s">
        <v>46</v>
      </c>
      <c r="Q59" s="110">
        <v>46013</v>
      </c>
      <c r="R59" s="110">
        <v>45666</v>
      </c>
      <c r="S59" s="110"/>
      <c r="T59" s="111" t="s">
        <v>49</v>
      </c>
    </row>
    <row r="60" spans="1:20" s="39" customFormat="1" ht="39.75" customHeight="1">
      <c r="A60" s="35" t="s">
        <v>35</v>
      </c>
      <c r="B60" s="36" t="s">
        <v>36</v>
      </c>
      <c r="C60" s="36" t="s">
        <v>37</v>
      </c>
      <c r="D60" s="35" t="s">
        <v>36</v>
      </c>
      <c r="E60" s="35" t="s">
        <v>38</v>
      </c>
      <c r="F60" s="35" t="s">
        <v>163</v>
      </c>
      <c r="G60" s="36" t="str">
        <f t="shared" si="0"/>
        <v>CP_059_Impresión factura de empleado - EU</v>
      </c>
      <c r="H60" s="35" t="s">
        <v>164</v>
      </c>
      <c r="I60" s="36"/>
      <c r="J60" s="37" t="s">
        <v>41</v>
      </c>
      <c r="K60" s="37" t="s">
        <v>42</v>
      </c>
      <c r="L60" s="37" t="s">
        <v>43</v>
      </c>
      <c r="M60" s="38" t="s">
        <v>44</v>
      </c>
      <c r="N60" s="37"/>
      <c r="O60" s="37" t="s">
        <v>45</v>
      </c>
      <c r="P60" s="37" t="s">
        <v>46</v>
      </c>
      <c r="Q60" s="110">
        <v>46013</v>
      </c>
      <c r="R60" s="110">
        <v>45666</v>
      </c>
      <c r="S60" s="110"/>
      <c r="T60" s="111" t="s">
        <v>49</v>
      </c>
    </row>
    <row r="61" spans="1:20" s="39" customFormat="1" ht="39.75" customHeight="1">
      <c r="A61" s="35" t="s">
        <v>35</v>
      </c>
      <c r="B61" s="36" t="s">
        <v>36</v>
      </c>
      <c r="C61" s="36" t="s">
        <v>37</v>
      </c>
      <c r="D61" s="35" t="s">
        <v>36</v>
      </c>
      <c r="E61" s="35" t="s">
        <v>38</v>
      </c>
      <c r="F61" s="35" t="s">
        <v>165</v>
      </c>
      <c r="G61" s="36" t="str">
        <f t="shared" si="0"/>
        <v>CP_060_Impresión factura de empleado - GA</v>
      </c>
      <c r="H61" s="35" t="s">
        <v>166</v>
      </c>
      <c r="I61" s="36"/>
      <c r="J61" s="37" t="s">
        <v>41</v>
      </c>
      <c r="K61" s="37" t="s">
        <v>42</v>
      </c>
      <c r="L61" s="37" t="s">
        <v>43</v>
      </c>
      <c r="M61" s="38" t="s">
        <v>44</v>
      </c>
      <c r="N61" s="37"/>
      <c r="O61" s="37" t="s">
        <v>45</v>
      </c>
      <c r="P61" s="37" t="s">
        <v>46</v>
      </c>
      <c r="Q61" s="110">
        <v>46013</v>
      </c>
      <c r="R61" s="110">
        <v>45666</v>
      </c>
      <c r="S61" s="110"/>
      <c r="T61" s="111" t="s">
        <v>49</v>
      </c>
    </row>
    <row r="62" spans="1:20" s="41" customFormat="1" ht="39.75" customHeight="1">
      <c r="A62" s="35" t="s">
        <v>35</v>
      </c>
      <c r="B62" s="36" t="s">
        <v>36</v>
      </c>
      <c r="C62" s="36" t="s">
        <v>37</v>
      </c>
      <c r="D62" s="35" t="s">
        <v>36</v>
      </c>
      <c r="E62" s="35" t="s">
        <v>38</v>
      </c>
      <c r="F62" s="35" t="s">
        <v>167</v>
      </c>
      <c r="G62" s="36" t="str">
        <f t="shared" si="0"/>
        <v>CP_061_Impresión factura TP ELE - ES</v>
      </c>
      <c r="H62" s="35" t="s">
        <v>168</v>
      </c>
      <c r="I62" s="40"/>
      <c r="J62" s="37" t="s">
        <v>41</v>
      </c>
      <c r="K62" s="37" t="s">
        <v>42</v>
      </c>
      <c r="L62" s="37" t="s">
        <v>43</v>
      </c>
      <c r="M62" s="38" t="s">
        <v>44</v>
      </c>
      <c r="N62" s="37"/>
      <c r="O62" s="37" t="s">
        <v>45</v>
      </c>
      <c r="P62" s="37" t="s">
        <v>46</v>
      </c>
      <c r="Q62" s="110">
        <v>46013</v>
      </c>
      <c r="R62" s="110">
        <v>45666</v>
      </c>
      <c r="S62" s="110"/>
      <c r="T62" s="111"/>
    </row>
    <row r="63" spans="1:20" s="41" customFormat="1" ht="39.75" customHeight="1">
      <c r="A63" s="35" t="s">
        <v>35</v>
      </c>
      <c r="B63" s="36" t="s">
        <v>36</v>
      </c>
      <c r="C63" s="36" t="s">
        <v>37</v>
      </c>
      <c r="D63" s="35" t="s">
        <v>36</v>
      </c>
      <c r="E63" s="35" t="s">
        <v>38</v>
      </c>
      <c r="F63" s="35" t="s">
        <v>169</v>
      </c>
      <c r="G63" s="36" t="str">
        <f t="shared" si="0"/>
        <v>CP_062_Impresión factura TP ELE - CA</v>
      </c>
      <c r="H63" s="35" t="s">
        <v>170</v>
      </c>
      <c r="I63" s="40"/>
      <c r="J63" s="37" t="s">
        <v>41</v>
      </c>
      <c r="K63" s="37" t="s">
        <v>42</v>
      </c>
      <c r="L63" s="37" t="s">
        <v>43</v>
      </c>
      <c r="M63" s="38" t="s">
        <v>44</v>
      </c>
      <c r="N63" s="37"/>
      <c r="O63" s="37" t="s">
        <v>45</v>
      </c>
      <c r="P63" s="37" t="s">
        <v>46</v>
      </c>
      <c r="Q63" s="110">
        <v>46013</v>
      </c>
      <c r="R63" s="110">
        <v>45666</v>
      </c>
      <c r="S63" s="110"/>
      <c r="T63" s="111" t="s">
        <v>49</v>
      </c>
    </row>
    <row r="64" spans="1:20" s="41" customFormat="1" ht="39.75" customHeight="1">
      <c r="A64" s="35" t="s">
        <v>35</v>
      </c>
      <c r="B64" s="36" t="s">
        <v>36</v>
      </c>
      <c r="C64" s="36" t="s">
        <v>37</v>
      </c>
      <c r="D64" s="35" t="s">
        <v>36</v>
      </c>
      <c r="E64" s="35" t="s">
        <v>38</v>
      </c>
      <c r="F64" s="35" t="s">
        <v>171</v>
      </c>
      <c r="G64" s="36" t="str">
        <f t="shared" si="0"/>
        <v>CP_063_Impresión factura TP ELE - EU</v>
      </c>
      <c r="H64" s="35" t="s">
        <v>172</v>
      </c>
      <c r="I64" s="40"/>
      <c r="J64" s="37" t="s">
        <v>41</v>
      </c>
      <c r="K64" s="37" t="s">
        <v>42</v>
      </c>
      <c r="L64" s="37" t="s">
        <v>43</v>
      </c>
      <c r="M64" s="38" t="s">
        <v>44</v>
      </c>
      <c r="N64" s="37"/>
      <c r="O64" s="37" t="s">
        <v>45</v>
      </c>
      <c r="P64" s="37" t="s">
        <v>46</v>
      </c>
      <c r="Q64" s="110">
        <v>46013</v>
      </c>
      <c r="R64" s="110">
        <v>45666</v>
      </c>
      <c r="S64" s="110"/>
      <c r="T64" s="111" t="s">
        <v>49</v>
      </c>
    </row>
    <row r="65" spans="1:21" s="41" customFormat="1" ht="39.75" customHeight="1">
      <c r="A65" s="35" t="s">
        <v>35</v>
      </c>
      <c r="B65" s="36" t="s">
        <v>36</v>
      </c>
      <c r="C65" s="36" t="s">
        <v>37</v>
      </c>
      <c r="D65" s="35" t="s">
        <v>36</v>
      </c>
      <c r="E65" s="35" t="s">
        <v>38</v>
      </c>
      <c r="F65" s="35" t="s">
        <v>173</v>
      </c>
      <c r="G65" s="36" t="str">
        <f t="shared" si="0"/>
        <v>CP_064_Impresión factura TP ELE - GA</v>
      </c>
      <c r="H65" s="35" t="s">
        <v>174</v>
      </c>
      <c r="I65" s="40"/>
      <c r="J65" s="37" t="s">
        <v>41</v>
      </c>
      <c r="K65" s="37" t="s">
        <v>42</v>
      </c>
      <c r="L65" s="37" t="s">
        <v>43</v>
      </c>
      <c r="M65" s="38" t="s">
        <v>44</v>
      </c>
      <c r="N65" s="37"/>
      <c r="O65" s="37" t="s">
        <v>45</v>
      </c>
      <c r="P65" s="37" t="s">
        <v>46</v>
      </c>
      <c r="Q65" s="110">
        <v>46013</v>
      </c>
      <c r="R65" s="110">
        <v>45666</v>
      </c>
      <c r="S65" s="110"/>
      <c r="T65" s="111" t="s">
        <v>49</v>
      </c>
    </row>
    <row r="66" spans="1:21" s="41" customFormat="1" ht="39.75" customHeight="1">
      <c r="A66" s="35" t="s">
        <v>35</v>
      </c>
      <c r="B66" s="36" t="s">
        <v>36</v>
      </c>
      <c r="C66" s="36" t="s">
        <v>37</v>
      </c>
      <c r="D66" s="35" t="s">
        <v>36</v>
      </c>
      <c r="E66" s="35" t="s">
        <v>38</v>
      </c>
      <c r="F66" s="35" t="s">
        <v>175</v>
      </c>
      <c r="G66" s="36" t="str">
        <f t="shared" si="0"/>
        <v>CP_065_Impresión factura TP GAS  - ES</v>
      </c>
      <c r="H66" s="35" t="s">
        <v>176</v>
      </c>
      <c r="I66" s="40"/>
      <c r="J66" s="37" t="s">
        <v>41</v>
      </c>
      <c r="K66" s="37" t="s">
        <v>42</v>
      </c>
      <c r="L66" s="37" t="s">
        <v>43</v>
      </c>
      <c r="M66" s="38" t="s">
        <v>44</v>
      </c>
      <c r="N66" s="37"/>
      <c r="O66" s="37" t="s">
        <v>45</v>
      </c>
      <c r="P66" s="37" t="s">
        <v>46</v>
      </c>
      <c r="Q66" s="110">
        <v>46013</v>
      </c>
      <c r="R66" s="110">
        <v>45666</v>
      </c>
      <c r="S66" s="110"/>
      <c r="T66" s="111"/>
    </row>
    <row r="67" spans="1:21" s="41" customFormat="1" ht="39.75" customHeight="1">
      <c r="A67" s="35" t="s">
        <v>35</v>
      </c>
      <c r="B67" s="36" t="s">
        <v>36</v>
      </c>
      <c r="C67" s="36" t="s">
        <v>37</v>
      </c>
      <c r="D67" s="35" t="s">
        <v>36</v>
      </c>
      <c r="E67" s="35" t="s">
        <v>38</v>
      </c>
      <c r="F67" s="35" t="s">
        <v>177</v>
      </c>
      <c r="G67" s="36" t="str">
        <f t="shared" si="0"/>
        <v>CP_066_Impresión factura TP GAS  - CA</v>
      </c>
      <c r="H67" s="35" t="s">
        <v>178</v>
      </c>
      <c r="I67" s="40"/>
      <c r="J67" s="37" t="s">
        <v>41</v>
      </c>
      <c r="K67" s="37" t="s">
        <v>42</v>
      </c>
      <c r="L67" s="37" t="s">
        <v>43</v>
      </c>
      <c r="M67" s="38" t="s">
        <v>44</v>
      </c>
      <c r="N67" s="37"/>
      <c r="O67" s="37" t="s">
        <v>45</v>
      </c>
      <c r="P67" s="37" t="s">
        <v>46</v>
      </c>
      <c r="Q67" s="110">
        <v>46013</v>
      </c>
      <c r="R67" s="110">
        <v>45666</v>
      </c>
      <c r="S67" s="110"/>
      <c r="T67" s="111" t="s">
        <v>49</v>
      </c>
    </row>
    <row r="68" spans="1:21" s="41" customFormat="1" ht="39.75" customHeight="1">
      <c r="A68" s="35" t="s">
        <v>35</v>
      </c>
      <c r="B68" s="36" t="s">
        <v>36</v>
      </c>
      <c r="C68" s="36" t="s">
        <v>37</v>
      </c>
      <c r="D68" s="35" t="s">
        <v>36</v>
      </c>
      <c r="E68" s="35" t="s">
        <v>38</v>
      </c>
      <c r="F68" s="35" t="s">
        <v>179</v>
      </c>
      <c r="G68" s="36" t="str">
        <f t="shared" si="0"/>
        <v>CP_067_Impresión factura TP GAS  - EU</v>
      </c>
      <c r="H68" s="35" t="s">
        <v>180</v>
      </c>
      <c r="I68" s="40"/>
      <c r="J68" s="37" t="s">
        <v>41</v>
      </c>
      <c r="K68" s="37" t="s">
        <v>42</v>
      </c>
      <c r="L68" s="37" t="s">
        <v>43</v>
      </c>
      <c r="M68" s="38" t="s">
        <v>44</v>
      </c>
      <c r="N68" s="37"/>
      <c r="O68" s="37" t="s">
        <v>45</v>
      </c>
      <c r="P68" s="37" t="s">
        <v>46</v>
      </c>
      <c r="Q68" s="110">
        <v>46013</v>
      </c>
      <c r="R68" s="110">
        <v>45666</v>
      </c>
      <c r="S68" s="110"/>
      <c r="T68" s="111" t="s">
        <v>49</v>
      </c>
    </row>
    <row r="69" spans="1:21" s="41" customFormat="1" ht="39.75" customHeight="1">
      <c r="A69" s="35" t="s">
        <v>35</v>
      </c>
      <c r="B69" s="36" t="s">
        <v>36</v>
      </c>
      <c r="C69" s="36" t="s">
        <v>37</v>
      </c>
      <c r="D69" s="35" t="s">
        <v>36</v>
      </c>
      <c r="E69" s="35" t="s">
        <v>38</v>
      </c>
      <c r="F69" s="35" t="s">
        <v>181</v>
      </c>
      <c r="G69" s="36" t="str">
        <f t="shared" si="0"/>
        <v>CP_068_Impresión factura TP GAS  - GA</v>
      </c>
      <c r="H69" s="35" t="s">
        <v>182</v>
      </c>
      <c r="I69" s="40"/>
      <c r="J69" s="37" t="s">
        <v>41</v>
      </c>
      <c r="K69" s="37" t="s">
        <v>42</v>
      </c>
      <c r="L69" s="37" t="s">
        <v>43</v>
      </c>
      <c r="M69" s="38" t="s">
        <v>44</v>
      </c>
      <c r="N69" s="37"/>
      <c r="O69" s="37" t="s">
        <v>45</v>
      </c>
      <c r="P69" s="37" t="s">
        <v>46</v>
      </c>
      <c r="Q69" s="110">
        <v>46013</v>
      </c>
      <c r="R69" s="110">
        <v>45666</v>
      </c>
      <c r="S69" s="110"/>
      <c r="T69" s="111" t="s">
        <v>49</v>
      </c>
    </row>
    <row r="70" spans="1:21" s="41" customFormat="1" ht="39.75" customHeight="1">
      <c r="A70" s="35" t="s">
        <v>35</v>
      </c>
      <c r="B70" s="36" t="s">
        <v>36</v>
      </c>
      <c r="C70" s="36" t="s">
        <v>37</v>
      </c>
      <c r="D70" s="35" t="s">
        <v>36</v>
      </c>
      <c r="E70" s="35" t="s">
        <v>38</v>
      </c>
      <c r="F70" s="35" t="s">
        <v>183</v>
      </c>
      <c r="G70" s="36" t="str">
        <f t="shared" si="0"/>
        <v xml:space="preserve">CP_069_Impresión factura IGIC </v>
      </c>
      <c r="H70" s="35" t="s">
        <v>184</v>
      </c>
      <c r="I70" s="40"/>
      <c r="J70" s="37" t="s">
        <v>41</v>
      </c>
      <c r="K70" s="37" t="s">
        <v>42</v>
      </c>
      <c r="L70" s="37" t="s">
        <v>43</v>
      </c>
      <c r="M70" s="38" t="s">
        <v>44</v>
      </c>
      <c r="N70" s="37"/>
      <c r="O70" s="37" t="s">
        <v>45</v>
      </c>
      <c r="P70" s="37" t="s">
        <v>46</v>
      </c>
      <c r="Q70" s="110">
        <v>46013</v>
      </c>
      <c r="R70" s="110">
        <v>45666</v>
      </c>
      <c r="S70" s="110"/>
      <c r="T70" s="111"/>
    </row>
    <row r="71" spans="1:21" s="41" customFormat="1" ht="39.75" customHeight="1">
      <c r="A71" s="35" t="s">
        <v>35</v>
      </c>
      <c r="B71" s="36" t="s">
        <v>36</v>
      </c>
      <c r="C71" s="36" t="s">
        <v>37</v>
      </c>
      <c r="D71" s="35" t="s">
        <v>36</v>
      </c>
      <c r="E71" s="35" t="s">
        <v>38</v>
      </c>
      <c r="F71" s="35" t="s">
        <v>185</v>
      </c>
      <c r="G71" s="36" t="str">
        <f t="shared" si="0"/>
        <v>CP_070_Impresión factura IPSI</v>
      </c>
      <c r="H71" s="35" t="s">
        <v>186</v>
      </c>
      <c r="I71" s="40"/>
      <c r="J71" s="37" t="s">
        <v>41</v>
      </c>
      <c r="K71" s="37" t="s">
        <v>42</v>
      </c>
      <c r="L71" s="37" t="s">
        <v>43</v>
      </c>
      <c r="M71" s="38" t="s">
        <v>44</v>
      </c>
      <c r="N71" s="37"/>
      <c r="O71" s="37" t="s">
        <v>45</v>
      </c>
      <c r="P71" s="37" t="s">
        <v>46</v>
      </c>
      <c r="Q71" s="110">
        <v>46013</v>
      </c>
      <c r="R71" s="110">
        <v>45666</v>
      </c>
      <c r="S71" s="110"/>
      <c r="T71" s="111"/>
    </row>
    <row r="72" spans="1:21" s="41" customFormat="1" ht="39.75" customHeight="1">
      <c r="A72" s="35" t="s">
        <v>35</v>
      </c>
      <c r="B72" s="36" t="s">
        <v>36</v>
      </c>
      <c r="C72" s="36" t="s">
        <v>37</v>
      </c>
      <c r="D72" s="35" t="s">
        <v>36</v>
      </c>
      <c r="E72" s="35" t="s">
        <v>38</v>
      </c>
      <c r="F72" s="35" t="s">
        <v>187</v>
      </c>
      <c r="G72" s="36" t="str">
        <f t="shared" si="0"/>
        <v>CP_071_Impresión factura con troquelado - ES</v>
      </c>
      <c r="H72" s="35" t="s">
        <v>188</v>
      </c>
      <c r="I72" s="40"/>
      <c r="J72" s="37" t="s">
        <v>41</v>
      </c>
      <c r="K72" s="37" t="s">
        <v>42</v>
      </c>
      <c r="L72" s="37" t="s">
        <v>43</v>
      </c>
      <c r="M72" s="38" t="s">
        <v>44</v>
      </c>
      <c r="N72" s="37"/>
      <c r="O72" s="37" t="s">
        <v>45</v>
      </c>
      <c r="P72" s="37" t="s">
        <v>46</v>
      </c>
      <c r="Q72" s="110">
        <v>46013</v>
      </c>
      <c r="R72" s="110">
        <v>45666</v>
      </c>
      <c r="S72" s="110"/>
      <c r="T72" s="111"/>
    </row>
    <row r="73" spans="1:21" s="41" customFormat="1" ht="39.75" customHeight="1">
      <c r="A73" s="35" t="s">
        <v>35</v>
      </c>
      <c r="B73" s="36" t="s">
        <v>36</v>
      </c>
      <c r="C73" s="36" t="s">
        <v>37</v>
      </c>
      <c r="D73" s="35" t="s">
        <v>36</v>
      </c>
      <c r="E73" s="35" t="s">
        <v>38</v>
      </c>
      <c r="F73" s="35" t="s">
        <v>189</v>
      </c>
      <c r="G73" s="36" t="str">
        <f t="shared" si="0"/>
        <v>CP_072_Impresión factura con troquelado - CA</v>
      </c>
      <c r="H73" s="35" t="s">
        <v>190</v>
      </c>
      <c r="I73" s="40"/>
      <c r="J73" s="37" t="s">
        <v>41</v>
      </c>
      <c r="K73" s="37" t="s">
        <v>42</v>
      </c>
      <c r="L73" s="37" t="s">
        <v>43</v>
      </c>
      <c r="M73" s="38" t="s">
        <v>44</v>
      </c>
      <c r="N73" s="37"/>
      <c r="O73" s="37" t="s">
        <v>45</v>
      </c>
      <c r="P73" s="37" t="s">
        <v>46</v>
      </c>
      <c r="Q73" s="110">
        <v>46013</v>
      </c>
      <c r="R73" s="110">
        <v>45666</v>
      </c>
      <c r="S73" s="110"/>
      <c r="T73" s="111" t="s">
        <v>49</v>
      </c>
    </row>
    <row r="74" spans="1:21" s="41" customFormat="1" ht="39.75" customHeight="1">
      <c r="A74" s="35" t="s">
        <v>35</v>
      </c>
      <c r="B74" s="36" t="s">
        <v>36</v>
      </c>
      <c r="C74" s="36" t="s">
        <v>37</v>
      </c>
      <c r="D74" s="35" t="s">
        <v>36</v>
      </c>
      <c r="E74" s="35" t="s">
        <v>38</v>
      </c>
      <c r="F74" s="35" t="s">
        <v>191</v>
      </c>
      <c r="G74" s="36" t="str">
        <f t="shared" ref="G74:G75" si="1">CONCATENATE(F74,"_",H74)</f>
        <v>CP_073_Impresión factura con troquelado - EU</v>
      </c>
      <c r="H74" s="35" t="s">
        <v>192</v>
      </c>
      <c r="I74" s="40"/>
      <c r="J74" s="37" t="s">
        <v>41</v>
      </c>
      <c r="K74" s="37" t="s">
        <v>42</v>
      </c>
      <c r="L74" s="37" t="s">
        <v>43</v>
      </c>
      <c r="M74" s="38" t="s">
        <v>44</v>
      </c>
      <c r="N74" s="37"/>
      <c r="O74" s="37" t="s">
        <v>45</v>
      </c>
      <c r="P74" s="37" t="s">
        <v>46</v>
      </c>
      <c r="Q74" s="110">
        <v>46013</v>
      </c>
      <c r="R74" s="110">
        <v>45666</v>
      </c>
      <c r="S74" s="110"/>
      <c r="T74" s="111" t="s">
        <v>49</v>
      </c>
    </row>
    <row r="75" spans="1:21" s="41" customFormat="1" ht="39.75" customHeight="1">
      <c r="A75" s="35" t="s">
        <v>35</v>
      </c>
      <c r="B75" s="36" t="s">
        <v>36</v>
      </c>
      <c r="C75" s="36" t="s">
        <v>37</v>
      </c>
      <c r="D75" s="35" t="s">
        <v>36</v>
      </c>
      <c r="E75" s="35" t="s">
        <v>38</v>
      </c>
      <c r="F75" s="35" t="s">
        <v>193</v>
      </c>
      <c r="G75" s="36" t="str">
        <f t="shared" si="1"/>
        <v>CP_074_Impresión factura con troquelado - GA</v>
      </c>
      <c r="H75" s="35" t="s">
        <v>194</v>
      </c>
      <c r="I75" s="40"/>
      <c r="J75" s="37" t="s">
        <v>41</v>
      </c>
      <c r="K75" s="37" t="s">
        <v>42</v>
      </c>
      <c r="L75" s="37" t="s">
        <v>43</v>
      </c>
      <c r="M75" s="38" t="s">
        <v>44</v>
      </c>
      <c r="N75" s="37"/>
      <c r="O75" s="37" t="s">
        <v>45</v>
      </c>
      <c r="P75" s="37" t="s">
        <v>46</v>
      </c>
      <c r="Q75" s="110">
        <v>46013</v>
      </c>
      <c r="R75" s="110">
        <v>45666</v>
      </c>
      <c r="S75" s="110"/>
      <c r="T75" s="111" t="s">
        <v>49</v>
      </c>
    </row>
    <row r="76" spans="1:21">
      <c r="T76" s="113">
        <f>(COUNTIF(T2:T75,"OK")/(COUNTBLANK(T2:T75)+(COUNTA(T2:T75)-(COUNTIF(T2:T75,"N/A")))))</f>
        <v>0</v>
      </c>
      <c r="U76" s="114" t="s">
        <v>195</v>
      </c>
    </row>
    <row r="77" spans="1:21">
      <c r="T77" s="13">
        <f>COUNTBLANK(T2:T75)+(COUNTA(T2:T75)-(COUNTIF(T2:T75,"N/A"))-(COUNTIF(T2:T75,"OK"))-(COUNTIF(T2:T75,"KO")))</f>
        <v>20</v>
      </c>
      <c r="U77" s="13" t="s">
        <v>196</v>
      </c>
    </row>
    <row r="78" spans="1:21">
      <c r="T78" s="13">
        <f>COUNTIF(T2:T75,"KO")</f>
        <v>0</v>
      </c>
      <c r="U78" s="13" t="s">
        <v>3</v>
      </c>
    </row>
    <row r="79" spans="1:21">
      <c r="T79" s="13">
        <f>COUNTIF(T2:T75,"OK")</f>
        <v>0</v>
      </c>
      <c r="U79" s="13" t="s">
        <v>2</v>
      </c>
    </row>
    <row r="80" spans="1:21">
      <c r="T80" s="13">
        <f>COUNTBLANK(T2:T75)+(COUNTA(T2:T75)-(COUNTIF(T2:T75,"N/A")))</f>
        <v>20</v>
      </c>
      <c r="U80" s="13" t="s">
        <v>197</v>
      </c>
    </row>
  </sheetData>
  <autoFilter ref="A1:U80" xr:uid="{A5ACA4A7-8A23-4C91-BC44-B68FFE1F85F3}"/>
  <phoneticPr fontId="19" type="noConversion"/>
  <dataValidations count="4">
    <dataValidation type="list" allowBlank="1" showInputMessage="1" showErrorMessage="1" sqref="N2:N75" xr:uid="{AD3FE56E-0751-4004-99F7-91DEF9C6A0E3}">
      <formula1>tipocdp</formula1>
    </dataValidation>
    <dataValidation type="list" allowBlank="1" showInputMessage="1" showErrorMessage="1" sqref="O2:O75" xr:uid="{7A78377E-57EC-4CA3-9645-AFE39613C39C}">
      <formula1>estadocdp</formula1>
    </dataValidation>
    <dataValidation type="list" allowBlank="1" showInputMessage="1" showErrorMessage="1" sqref="K2:K75" xr:uid="{3D18A703-4C3B-4314-81C7-F22D5E32AB40}">
      <formula1>Criticidad</formula1>
    </dataValidation>
    <dataValidation type="list" allowBlank="1" showInputMessage="1" showErrorMessage="1" sqref="J2:J75" xr:uid="{831575BE-FA31-4B5F-A600-537138B10CA6}">
      <formula1>Tipoejecucion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56D5474-E881-4090-A1B7-ECE4FB9F4142}">
          <x14:formula1>
            <xm:f>Listados!$A$2:$A$5</xm:f>
          </x14:formula1>
          <xm:sqref>T2:T75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CE364-C4E7-46F5-BC5E-F89B0CEE0F87}">
  <dimension ref="A1:R43"/>
  <sheetViews>
    <sheetView topLeftCell="J1" zoomScale="80" zoomScaleNormal="80" workbookViewId="0">
      <selection activeCell="O44" sqref="O44"/>
    </sheetView>
  </sheetViews>
  <sheetFormatPr defaultColWidth="11.42578125" defaultRowHeight="15"/>
  <cols>
    <col min="1" max="1" width="19.85546875" customWidth="1"/>
    <col min="3" max="3" width="11.140625" bestFit="1" customWidth="1"/>
    <col min="4" max="4" width="13.140625" bestFit="1" customWidth="1"/>
    <col min="5" max="5" width="12.28515625" style="20" customWidth="1"/>
    <col min="6" max="6" width="39.5703125" style="20" customWidth="1"/>
    <col min="7" max="7" width="17.5703125" bestFit="1" customWidth="1"/>
    <col min="8" max="8" width="35.28515625" customWidth="1"/>
    <col min="9" max="9" width="23.28515625" customWidth="1"/>
    <col min="10" max="10" width="22.140625" bestFit="1" customWidth="1"/>
    <col min="11" max="11" width="19.42578125" customWidth="1"/>
    <col min="12" max="12" width="35.140625" style="99" customWidth="1"/>
    <col min="13" max="13" width="12.140625" customWidth="1"/>
    <col min="14" max="14" width="14.5703125" bestFit="1" customWidth="1"/>
    <col min="15" max="15" width="16.42578125" style="203" customWidth="1"/>
    <col min="16" max="16" width="16.7109375" customWidth="1"/>
    <col min="17" max="17" width="106.42578125" style="99" customWidth="1"/>
    <col min="18" max="18" width="106.7109375" style="99" customWidth="1"/>
  </cols>
  <sheetData>
    <row r="1" spans="1:18" s="15" customFormat="1" ht="30">
      <c r="A1" s="14" t="s">
        <v>198</v>
      </c>
      <c r="B1" s="14" t="s">
        <v>199</v>
      </c>
      <c r="C1" s="14" t="s">
        <v>200</v>
      </c>
      <c r="D1" s="14" t="s">
        <v>201</v>
      </c>
      <c r="E1" s="14" t="s">
        <v>202</v>
      </c>
      <c r="F1" s="14" t="s">
        <v>203</v>
      </c>
      <c r="G1" s="14" t="s">
        <v>204</v>
      </c>
      <c r="H1" s="14" t="s">
        <v>205</v>
      </c>
      <c r="I1" s="14" t="s">
        <v>206</v>
      </c>
      <c r="J1" s="14" t="s">
        <v>28</v>
      </c>
      <c r="K1" s="21" t="s">
        <v>29</v>
      </c>
      <c r="L1" s="22" t="s">
        <v>30</v>
      </c>
      <c r="M1" s="22" t="s">
        <v>31</v>
      </c>
      <c r="N1" s="22" t="s">
        <v>32</v>
      </c>
      <c r="O1" s="22" t="s">
        <v>33</v>
      </c>
      <c r="P1" s="22" t="s">
        <v>34</v>
      </c>
      <c r="Q1" s="2" t="s">
        <v>207</v>
      </c>
      <c r="R1" s="2" t="s">
        <v>208</v>
      </c>
    </row>
    <row r="2" spans="1:18" s="66" customFormat="1" ht="75">
      <c r="A2" s="58" t="s">
        <v>209</v>
      </c>
      <c r="B2" s="59" t="s">
        <v>210</v>
      </c>
      <c r="C2" s="59" t="s">
        <v>211</v>
      </c>
      <c r="D2" s="59" t="s">
        <v>212</v>
      </c>
      <c r="E2" s="60" t="s">
        <v>213</v>
      </c>
      <c r="F2" s="61" t="s">
        <v>214</v>
      </c>
      <c r="G2" s="59" t="s">
        <v>215</v>
      </c>
      <c r="H2" s="62" t="s">
        <v>216</v>
      </c>
      <c r="I2" s="62" t="s">
        <v>217</v>
      </c>
      <c r="J2" s="62" t="s">
        <v>218</v>
      </c>
      <c r="K2" s="37" t="s">
        <v>45</v>
      </c>
      <c r="L2" s="126" t="s">
        <v>219</v>
      </c>
      <c r="M2" s="63">
        <v>46013</v>
      </c>
      <c r="N2" s="64">
        <v>45666</v>
      </c>
      <c r="O2" s="107">
        <v>46027</v>
      </c>
      <c r="P2" s="5"/>
      <c r="Q2" s="158" t="s">
        <v>220</v>
      </c>
      <c r="R2" s="159" t="s">
        <v>221</v>
      </c>
    </row>
    <row r="3" spans="1:18" s="66" customFormat="1" ht="75">
      <c r="A3" s="58" t="s">
        <v>209</v>
      </c>
      <c r="B3" s="59" t="s">
        <v>210</v>
      </c>
      <c r="C3" s="59" t="s">
        <v>211</v>
      </c>
      <c r="D3" s="59" t="s">
        <v>212</v>
      </c>
      <c r="E3" s="60" t="s">
        <v>222</v>
      </c>
      <c r="F3" s="61" t="s">
        <v>223</v>
      </c>
      <c r="G3" s="59" t="s">
        <v>215</v>
      </c>
      <c r="H3" s="62" t="s">
        <v>224</v>
      </c>
      <c r="I3" s="62" t="s">
        <v>217</v>
      </c>
      <c r="J3" s="62" t="s">
        <v>218</v>
      </c>
      <c r="K3" s="37" t="s">
        <v>45</v>
      </c>
      <c r="L3" s="126" t="s">
        <v>219</v>
      </c>
      <c r="M3" s="63">
        <v>46013</v>
      </c>
      <c r="N3" s="64">
        <v>45666</v>
      </c>
      <c r="O3" s="107">
        <v>46027</v>
      </c>
      <c r="P3" s="5"/>
      <c r="Q3" s="118" t="s">
        <v>225</v>
      </c>
      <c r="R3" s="118" t="s">
        <v>226</v>
      </c>
    </row>
    <row r="4" spans="1:18" s="66" customFormat="1" ht="60">
      <c r="A4" s="58" t="s">
        <v>209</v>
      </c>
      <c r="B4" s="59" t="s">
        <v>210</v>
      </c>
      <c r="C4" s="59" t="s">
        <v>211</v>
      </c>
      <c r="D4" s="59" t="s">
        <v>212</v>
      </c>
      <c r="E4" s="60" t="s">
        <v>227</v>
      </c>
      <c r="F4" s="61" t="s">
        <v>228</v>
      </c>
      <c r="G4" s="59" t="s">
        <v>215</v>
      </c>
      <c r="H4" s="62" t="s">
        <v>229</v>
      </c>
      <c r="I4" s="62" t="s">
        <v>217</v>
      </c>
      <c r="J4" s="62" t="s">
        <v>218</v>
      </c>
      <c r="K4" s="37" t="s">
        <v>45</v>
      </c>
      <c r="L4" s="126" t="s">
        <v>219</v>
      </c>
      <c r="M4" s="63">
        <v>46013</v>
      </c>
      <c r="N4" s="64">
        <v>45666</v>
      </c>
      <c r="O4" s="107">
        <v>46027</v>
      </c>
      <c r="P4" s="5"/>
      <c r="Q4" s="160" t="s">
        <v>230</v>
      </c>
      <c r="R4" s="161" t="s">
        <v>231</v>
      </c>
    </row>
    <row r="5" spans="1:18" s="66" customFormat="1" ht="60">
      <c r="A5" s="58" t="s">
        <v>209</v>
      </c>
      <c r="B5" s="59" t="s">
        <v>210</v>
      </c>
      <c r="C5" s="59" t="s">
        <v>211</v>
      </c>
      <c r="D5" s="59" t="s">
        <v>212</v>
      </c>
      <c r="E5" s="60" t="s">
        <v>232</v>
      </c>
      <c r="F5" s="61" t="s">
        <v>233</v>
      </c>
      <c r="G5" s="59" t="s">
        <v>215</v>
      </c>
      <c r="H5" s="62" t="s">
        <v>234</v>
      </c>
      <c r="I5" s="62" t="s">
        <v>217</v>
      </c>
      <c r="J5" s="62" t="s">
        <v>218</v>
      </c>
      <c r="K5" s="37" t="s">
        <v>45</v>
      </c>
      <c r="L5" s="126" t="s">
        <v>219</v>
      </c>
      <c r="M5" s="63">
        <v>46013</v>
      </c>
      <c r="N5" s="64">
        <v>45666</v>
      </c>
      <c r="O5" s="107">
        <v>46027</v>
      </c>
      <c r="P5" s="5"/>
      <c r="Q5" s="162" t="s">
        <v>235</v>
      </c>
      <c r="R5" s="162" t="s">
        <v>236</v>
      </c>
    </row>
    <row r="6" spans="1:18" s="66" customFormat="1" ht="60">
      <c r="A6" s="58" t="s">
        <v>209</v>
      </c>
      <c r="B6" s="59" t="s">
        <v>210</v>
      </c>
      <c r="C6" s="59" t="s">
        <v>211</v>
      </c>
      <c r="D6" s="59" t="s">
        <v>212</v>
      </c>
      <c r="E6" s="60" t="s">
        <v>237</v>
      </c>
      <c r="F6" s="61" t="s">
        <v>238</v>
      </c>
      <c r="G6" s="59" t="s">
        <v>215</v>
      </c>
      <c r="H6" s="62" t="s">
        <v>239</v>
      </c>
      <c r="I6" s="62" t="s">
        <v>217</v>
      </c>
      <c r="J6" s="62" t="s">
        <v>218</v>
      </c>
      <c r="K6" s="37" t="s">
        <v>45</v>
      </c>
      <c r="L6" s="126" t="s">
        <v>219</v>
      </c>
      <c r="M6" s="63">
        <v>46013</v>
      </c>
      <c r="N6" s="64">
        <v>45666</v>
      </c>
      <c r="O6" s="107">
        <v>46027</v>
      </c>
      <c r="P6" s="5"/>
      <c r="Q6" s="162" t="s">
        <v>240</v>
      </c>
      <c r="R6" s="162" t="s">
        <v>241</v>
      </c>
    </row>
    <row r="7" spans="1:18" s="66" customFormat="1" ht="60">
      <c r="A7" s="58" t="s">
        <v>209</v>
      </c>
      <c r="B7" s="59" t="s">
        <v>210</v>
      </c>
      <c r="C7" s="59" t="s">
        <v>211</v>
      </c>
      <c r="D7" s="59" t="s">
        <v>212</v>
      </c>
      <c r="E7" s="60" t="s">
        <v>242</v>
      </c>
      <c r="F7" s="61" t="s">
        <v>243</v>
      </c>
      <c r="G7" s="59" t="s">
        <v>215</v>
      </c>
      <c r="H7" s="62" t="s">
        <v>244</v>
      </c>
      <c r="I7" s="62" t="s">
        <v>217</v>
      </c>
      <c r="J7" s="62" t="s">
        <v>218</v>
      </c>
      <c r="K7" s="37" t="s">
        <v>45</v>
      </c>
      <c r="L7" s="126" t="s">
        <v>219</v>
      </c>
      <c r="M7" s="63">
        <v>46013</v>
      </c>
      <c r="N7" s="64">
        <v>45666</v>
      </c>
      <c r="O7" s="107">
        <v>46027</v>
      </c>
      <c r="P7" s="5"/>
      <c r="Q7" s="162" t="s">
        <v>245</v>
      </c>
      <c r="R7" s="171" t="s">
        <v>246</v>
      </c>
    </row>
    <row r="8" spans="1:18" s="66" customFormat="1" ht="60">
      <c r="A8" s="58" t="s">
        <v>209</v>
      </c>
      <c r="B8" s="59" t="s">
        <v>210</v>
      </c>
      <c r="C8" s="59" t="s">
        <v>211</v>
      </c>
      <c r="D8" s="59" t="s">
        <v>212</v>
      </c>
      <c r="E8" s="60" t="s">
        <v>247</v>
      </c>
      <c r="F8" s="61" t="s">
        <v>248</v>
      </c>
      <c r="G8" s="59" t="s">
        <v>215</v>
      </c>
      <c r="H8" s="62" t="s">
        <v>249</v>
      </c>
      <c r="I8" s="62" t="s">
        <v>217</v>
      </c>
      <c r="J8" s="62" t="s">
        <v>218</v>
      </c>
      <c r="K8" s="37" t="s">
        <v>45</v>
      </c>
      <c r="L8" s="126" t="s">
        <v>219</v>
      </c>
      <c r="M8" s="63">
        <v>46013</v>
      </c>
      <c r="N8" s="64">
        <v>45666</v>
      </c>
      <c r="O8" s="107"/>
      <c r="P8" s="5"/>
      <c r="Q8" s="162" t="s">
        <v>250</v>
      </c>
      <c r="R8" s="162" t="s">
        <v>250</v>
      </c>
    </row>
    <row r="9" spans="1:18" s="66" customFormat="1" ht="60">
      <c r="A9" s="58" t="s">
        <v>209</v>
      </c>
      <c r="B9" s="59" t="s">
        <v>210</v>
      </c>
      <c r="C9" s="59" t="s">
        <v>211</v>
      </c>
      <c r="D9" s="59" t="s">
        <v>212</v>
      </c>
      <c r="E9" s="60" t="s">
        <v>251</v>
      </c>
      <c r="F9" s="61" t="s">
        <v>252</v>
      </c>
      <c r="G9" s="59" t="s">
        <v>215</v>
      </c>
      <c r="H9" s="62" t="s">
        <v>253</v>
      </c>
      <c r="I9" s="62" t="s">
        <v>217</v>
      </c>
      <c r="J9" s="62" t="s">
        <v>218</v>
      </c>
      <c r="K9" s="37" t="s">
        <v>45</v>
      </c>
      <c r="L9" s="126" t="s">
        <v>219</v>
      </c>
      <c r="M9" s="63">
        <v>46013</v>
      </c>
      <c r="N9" s="64">
        <v>45666</v>
      </c>
      <c r="O9" s="107"/>
      <c r="P9" s="5"/>
      <c r="Q9" s="162" t="s">
        <v>254</v>
      </c>
      <c r="R9" s="162" t="s">
        <v>254</v>
      </c>
    </row>
    <row r="10" spans="1:18" s="66" customFormat="1" ht="60">
      <c r="A10" s="58" t="s">
        <v>209</v>
      </c>
      <c r="B10" s="59" t="s">
        <v>210</v>
      </c>
      <c r="C10" s="59" t="s">
        <v>211</v>
      </c>
      <c r="D10" s="59" t="s">
        <v>212</v>
      </c>
      <c r="E10" s="60" t="s">
        <v>255</v>
      </c>
      <c r="F10" s="61" t="s">
        <v>256</v>
      </c>
      <c r="G10" s="59" t="s">
        <v>215</v>
      </c>
      <c r="H10" s="62" t="s">
        <v>257</v>
      </c>
      <c r="I10" s="62" t="s">
        <v>217</v>
      </c>
      <c r="J10" s="62" t="s">
        <v>218</v>
      </c>
      <c r="K10" s="37" t="s">
        <v>45</v>
      </c>
      <c r="L10" s="126" t="s">
        <v>219</v>
      </c>
      <c r="M10" s="63">
        <v>46013</v>
      </c>
      <c r="N10" s="64">
        <v>45666</v>
      </c>
      <c r="O10" s="107"/>
      <c r="P10" s="5"/>
      <c r="Q10" s="117" t="s">
        <v>258</v>
      </c>
      <c r="R10" s="118" t="s">
        <v>258</v>
      </c>
    </row>
    <row r="11" spans="1:18" s="66" customFormat="1" ht="75">
      <c r="A11" s="172" t="s">
        <v>209</v>
      </c>
      <c r="B11" s="173" t="s">
        <v>210</v>
      </c>
      <c r="C11" s="173" t="s">
        <v>211</v>
      </c>
      <c r="D11" s="173" t="s">
        <v>212</v>
      </c>
      <c r="E11" s="174" t="s">
        <v>259</v>
      </c>
      <c r="F11" s="175" t="s">
        <v>260</v>
      </c>
      <c r="G11" s="173" t="s">
        <v>215</v>
      </c>
      <c r="H11" s="176" t="s">
        <v>261</v>
      </c>
      <c r="I11" s="176" t="s">
        <v>217</v>
      </c>
      <c r="J11" s="176" t="s">
        <v>218</v>
      </c>
      <c r="K11" s="37" t="s">
        <v>45</v>
      </c>
      <c r="L11" s="177" t="s">
        <v>219</v>
      </c>
      <c r="M11" s="63">
        <v>46013</v>
      </c>
      <c r="N11" s="64">
        <v>45666</v>
      </c>
      <c r="O11" s="108"/>
      <c r="P11" s="178" t="s">
        <v>262</v>
      </c>
      <c r="Q11" s="117" t="s">
        <v>263</v>
      </c>
      <c r="R11" s="118" t="s">
        <v>263</v>
      </c>
    </row>
    <row r="12" spans="1:18" s="66" customFormat="1" ht="75">
      <c r="A12" s="179" t="s">
        <v>209</v>
      </c>
      <c r="B12" s="180" t="s">
        <v>210</v>
      </c>
      <c r="C12" s="180" t="s">
        <v>211</v>
      </c>
      <c r="D12" s="180" t="s">
        <v>212</v>
      </c>
      <c r="E12" s="181" t="s">
        <v>264</v>
      </c>
      <c r="F12" s="182" t="s">
        <v>265</v>
      </c>
      <c r="G12" s="180" t="s">
        <v>215</v>
      </c>
      <c r="H12" s="183" t="s">
        <v>266</v>
      </c>
      <c r="I12" s="183" t="s">
        <v>217</v>
      </c>
      <c r="J12" s="183" t="s">
        <v>218</v>
      </c>
      <c r="K12" s="37" t="s">
        <v>45</v>
      </c>
      <c r="L12" s="184" t="s">
        <v>219</v>
      </c>
      <c r="M12" s="63">
        <v>46013</v>
      </c>
      <c r="N12" s="64">
        <v>45666</v>
      </c>
      <c r="O12" s="109"/>
      <c r="P12" s="178" t="s">
        <v>262</v>
      </c>
      <c r="Q12" s="117" t="s">
        <v>267</v>
      </c>
      <c r="R12" s="118" t="s">
        <v>267</v>
      </c>
    </row>
    <row r="13" spans="1:18" s="66" customFormat="1" ht="75">
      <c r="A13" s="179" t="s">
        <v>209</v>
      </c>
      <c r="B13" s="180" t="s">
        <v>210</v>
      </c>
      <c r="C13" s="180" t="s">
        <v>211</v>
      </c>
      <c r="D13" s="180" t="s">
        <v>212</v>
      </c>
      <c r="E13" s="181" t="s">
        <v>268</v>
      </c>
      <c r="F13" s="182" t="s">
        <v>269</v>
      </c>
      <c r="G13" s="180" t="s">
        <v>215</v>
      </c>
      <c r="H13" s="183" t="s">
        <v>270</v>
      </c>
      <c r="I13" s="183" t="s">
        <v>217</v>
      </c>
      <c r="J13" s="183" t="s">
        <v>218</v>
      </c>
      <c r="K13" s="37" t="s">
        <v>45</v>
      </c>
      <c r="L13" s="184" t="s">
        <v>219</v>
      </c>
      <c r="M13" s="63">
        <v>46013</v>
      </c>
      <c r="N13" s="64">
        <v>45666</v>
      </c>
      <c r="O13" s="109"/>
      <c r="P13" s="178" t="s">
        <v>262</v>
      </c>
      <c r="Q13" s="117" t="s">
        <v>271</v>
      </c>
      <c r="R13" s="118" t="s">
        <v>271</v>
      </c>
    </row>
    <row r="14" spans="1:18" s="66" customFormat="1" ht="75">
      <c r="A14" s="58" t="s">
        <v>209</v>
      </c>
      <c r="B14" s="59" t="s">
        <v>210</v>
      </c>
      <c r="C14" s="59" t="s">
        <v>211</v>
      </c>
      <c r="D14" s="59" t="s">
        <v>212</v>
      </c>
      <c r="E14" s="181" t="s">
        <v>272</v>
      </c>
      <c r="F14" s="61" t="s">
        <v>273</v>
      </c>
      <c r="G14" s="59" t="s">
        <v>215</v>
      </c>
      <c r="H14" s="62" t="s">
        <v>274</v>
      </c>
      <c r="I14" s="62" t="s">
        <v>217</v>
      </c>
      <c r="J14" s="62" t="s">
        <v>218</v>
      </c>
      <c r="K14" s="37" t="s">
        <v>45</v>
      </c>
      <c r="L14" s="126" t="s">
        <v>219</v>
      </c>
      <c r="M14" s="63">
        <v>46013</v>
      </c>
      <c r="N14" s="64">
        <v>45666</v>
      </c>
      <c r="O14" s="107"/>
      <c r="P14" s="65"/>
      <c r="Q14" s="117" t="s">
        <v>275</v>
      </c>
      <c r="R14" s="118" t="s">
        <v>276</v>
      </c>
    </row>
    <row r="15" spans="1:18" s="66" customFormat="1" ht="75">
      <c r="A15" s="58" t="s">
        <v>209</v>
      </c>
      <c r="B15" s="59" t="s">
        <v>210</v>
      </c>
      <c r="C15" s="59" t="s">
        <v>211</v>
      </c>
      <c r="D15" s="59" t="s">
        <v>212</v>
      </c>
      <c r="E15" s="185" t="s">
        <v>277</v>
      </c>
      <c r="F15" s="61" t="s">
        <v>278</v>
      </c>
      <c r="G15" s="59" t="s">
        <v>215</v>
      </c>
      <c r="H15" s="62" t="s">
        <v>279</v>
      </c>
      <c r="I15" s="62" t="s">
        <v>217</v>
      </c>
      <c r="J15" s="62" t="s">
        <v>218</v>
      </c>
      <c r="K15" s="37" t="s">
        <v>45</v>
      </c>
      <c r="L15" s="126" t="s">
        <v>219</v>
      </c>
      <c r="M15" s="63">
        <v>46013</v>
      </c>
      <c r="N15" s="64">
        <v>45666</v>
      </c>
      <c r="O15" s="107"/>
      <c r="P15" s="65"/>
      <c r="Q15" s="160" t="s">
        <v>280</v>
      </c>
      <c r="R15" s="118" t="s">
        <v>281</v>
      </c>
    </row>
    <row r="16" spans="1:18" s="66" customFormat="1" ht="75">
      <c r="A16" s="58" t="s">
        <v>209</v>
      </c>
      <c r="B16" s="59" t="s">
        <v>210</v>
      </c>
      <c r="C16" s="59" t="s">
        <v>211</v>
      </c>
      <c r="D16" s="59" t="s">
        <v>212</v>
      </c>
      <c r="E16" s="185" t="s">
        <v>282</v>
      </c>
      <c r="F16" s="61" t="s">
        <v>283</v>
      </c>
      <c r="G16" s="59" t="s">
        <v>215</v>
      </c>
      <c r="H16" s="62" t="s">
        <v>284</v>
      </c>
      <c r="I16" s="62" t="s">
        <v>217</v>
      </c>
      <c r="J16" s="62" t="s">
        <v>218</v>
      </c>
      <c r="K16" s="37" t="s">
        <v>45</v>
      </c>
      <c r="L16" s="126" t="s">
        <v>219</v>
      </c>
      <c r="M16" s="63">
        <v>46013</v>
      </c>
      <c r="N16" s="64">
        <v>45666</v>
      </c>
      <c r="O16" s="107"/>
      <c r="P16" s="65"/>
      <c r="Q16" s="186" t="s">
        <v>285</v>
      </c>
      <c r="R16" s="118" t="s">
        <v>286</v>
      </c>
    </row>
    <row r="17" spans="1:18" s="66" customFormat="1" ht="75">
      <c r="A17" s="58" t="s">
        <v>209</v>
      </c>
      <c r="B17" s="59" t="s">
        <v>210</v>
      </c>
      <c r="C17" s="59" t="s">
        <v>211</v>
      </c>
      <c r="D17" s="59" t="s">
        <v>212</v>
      </c>
      <c r="E17" s="185" t="s">
        <v>287</v>
      </c>
      <c r="F17" s="61" t="s">
        <v>288</v>
      </c>
      <c r="G17" s="59" t="s">
        <v>215</v>
      </c>
      <c r="H17" s="62" t="s">
        <v>289</v>
      </c>
      <c r="I17" s="62" t="s">
        <v>217</v>
      </c>
      <c r="J17" s="62" t="s">
        <v>218</v>
      </c>
      <c r="K17" s="37" t="s">
        <v>45</v>
      </c>
      <c r="L17" s="126" t="s">
        <v>219</v>
      </c>
      <c r="M17" s="63">
        <v>46013</v>
      </c>
      <c r="N17" s="64">
        <v>45666</v>
      </c>
      <c r="O17" s="107"/>
      <c r="P17" s="65"/>
      <c r="Q17" s="117" t="s">
        <v>290</v>
      </c>
      <c r="R17" s="118" t="s">
        <v>291</v>
      </c>
    </row>
    <row r="18" spans="1:18" s="66" customFormat="1" ht="60">
      <c r="A18" s="58" t="s">
        <v>209</v>
      </c>
      <c r="B18" s="59" t="s">
        <v>210</v>
      </c>
      <c r="C18" s="59" t="s">
        <v>211</v>
      </c>
      <c r="D18" s="59" t="s">
        <v>212</v>
      </c>
      <c r="E18" s="185" t="s">
        <v>292</v>
      </c>
      <c r="F18" s="61" t="s">
        <v>293</v>
      </c>
      <c r="G18" s="59" t="s">
        <v>215</v>
      </c>
      <c r="H18" s="62" t="s">
        <v>294</v>
      </c>
      <c r="I18" s="62" t="s">
        <v>217</v>
      </c>
      <c r="J18" s="62" t="s">
        <v>218</v>
      </c>
      <c r="K18" s="37" t="s">
        <v>45</v>
      </c>
      <c r="L18" s="126" t="s">
        <v>219</v>
      </c>
      <c r="M18" s="63">
        <v>46013</v>
      </c>
      <c r="N18" s="64">
        <v>45666</v>
      </c>
      <c r="O18" s="107"/>
      <c r="P18" s="65"/>
      <c r="Q18" s="117" t="s">
        <v>295</v>
      </c>
      <c r="R18" s="118" t="s">
        <v>296</v>
      </c>
    </row>
    <row r="19" spans="1:18" s="66" customFormat="1" ht="90">
      <c r="A19" s="58" t="s">
        <v>209</v>
      </c>
      <c r="B19" s="59" t="s">
        <v>210</v>
      </c>
      <c r="C19" s="59" t="s">
        <v>211</v>
      </c>
      <c r="D19" s="59" t="s">
        <v>212</v>
      </c>
      <c r="E19" s="185" t="s">
        <v>297</v>
      </c>
      <c r="F19" s="61" t="s">
        <v>298</v>
      </c>
      <c r="G19" s="59" t="s">
        <v>215</v>
      </c>
      <c r="H19" s="62" t="s">
        <v>299</v>
      </c>
      <c r="I19" s="62" t="s">
        <v>217</v>
      </c>
      <c r="J19" s="62" t="s">
        <v>218</v>
      </c>
      <c r="K19" s="37" t="s">
        <v>45</v>
      </c>
      <c r="L19" s="126" t="s">
        <v>219</v>
      </c>
      <c r="M19" s="63">
        <v>46013</v>
      </c>
      <c r="N19" s="64">
        <v>45666</v>
      </c>
      <c r="O19" s="107"/>
      <c r="P19" s="65"/>
      <c r="Q19" s="117" t="s">
        <v>300</v>
      </c>
      <c r="R19" s="118" t="s">
        <v>300</v>
      </c>
    </row>
    <row r="20" spans="1:18" s="66" customFormat="1" ht="75">
      <c r="A20" s="58" t="s">
        <v>209</v>
      </c>
      <c r="B20" s="59" t="s">
        <v>210</v>
      </c>
      <c r="C20" s="59" t="s">
        <v>211</v>
      </c>
      <c r="D20" s="59" t="s">
        <v>212</v>
      </c>
      <c r="E20" s="185" t="s">
        <v>301</v>
      </c>
      <c r="F20" s="61" t="s">
        <v>302</v>
      </c>
      <c r="G20" s="59" t="s">
        <v>215</v>
      </c>
      <c r="H20" s="62" t="s">
        <v>303</v>
      </c>
      <c r="I20" s="62" t="s">
        <v>217</v>
      </c>
      <c r="J20" s="62" t="s">
        <v>218</v>
      </c>
      <c r="K20" s="37" t="s">
        <v>45</v>
      </c>
      <c r="L20" s="126" t="s">
        <v>219</v>
      </c>
      <c r="M20" s="63">
        <v>46013</v>
      </c>
      <c r="N20" s="64">
        <v>45666</v>
      </c>
      <c r="O20" s="107"/>
      <c r="P20" s="65"/>
      <c r="Q20" s="117" t="s">
        <v>304</v>
      </c>
      <c r="R20" s="118" t="s">
        <v>305</v>
      </c>
    </row>
    <row r="21" spans="1:18" s="66" customFormat="1" ht="75">
      <c r="A21" s="187" t="s">
        <v>209</v>
      </c>
      <c r="B21" s="188" t="s">
        <v>210</v>
      </c>
      <c r="C21" s="188" t="s">
        <v>211</v>
      </c>
      <c r="D21" s="188" t="s">
        <v>212</v>
      </c>
      <c r="E21" s="185" t="s">
        <v>306</v>
      </c>
      <c r="F21" s="176" t="s">
        <v>307</v>
      </c>
      <c r="G21" s="188" t="s">
        <v>215</v>
      </c>
      <c r="H21" s="176" t="s">
        <v>308</v>
      </c>
      <c r="I21" s="176" t="s">
        <v>217</v>
      </c>
      <c r="J21" s="176" t="s">
        <v>218</v>
      </c>
      <c r="K21" s="37" t="s">
        <v>45</v>
      </c>
      <c r="L21" s="177" t="s">
        <v>219</v>
      </c>
      <c r="M21" s="63">
        <v>46013</v>
      </c>
      <c r="N21" s="64">
        <v>45666</v>
      </c>
      <c r="O21" s="64"/>
      <c r="P21" s="178" t="s">
        <v>262</v>
      </c>
      <c r="Q21" s="117" t="s">
        <v>309</v>
      </c>
      <c r="R21" s="118" t="s">
        <v>309</v>
      </c>
    </row>
    <row r="22" spans="1:18" s="66" customFormat="1" ht="75">
      <c r="A22" s="189" t="s">
        <v>209</v>
      </c>
      <c r="B22" s="190" t="s">
        <v>210</v>
      </c>
      <c r="C22" s="190" t="s">
        <v>211</v>
      </c>
      <c r="D22" s="190" t="s">
        <v>212</v>
      </c>
      <c r="E22" s="185" t="s">
        <v>310</v>
      </c>
      <c r="F22" s="183" t="s">
        <v>311</v>
      </c>
      <c r="G22" s="190" t="s">
        <v>215</v>
      </c>
      <c r="H22" s="183" t="s">
        <v>312</v>
      </c>
      <c r="I22" s="183" t="s">
        <v>217</v>
      </c>
      <c r="J22" s="183" t="s">
        <v>218</v>
      </c>
      <c r="K22" s="37" t="s">
        <v>45</v>
      </c>
      <c r="L22" s="184" t="s">
        <v>219</v>
      </c>
      <c r="M22" s="63">
        <v>46013</v>
      </c>
      <c r="N22" s="64">
        <v>45666</v>
      </c>
      <c r="O22" s="64"/>
      <c r="P22" s="178" t="s">
        <v>262</v>
      </c>
      <c r="Q22" s="117" t="s">
        <v>313</v>
      </c>
      <c r="R22" s="118" t="s">
        <v>313</v>
      </c>
    </row>
    <row r="23" spans="1:18" s="66" customFormat="1" ht="75">
      <c r="A23" s="189" t="s">
        <v>209</v>
      </c>
      <c r="B23" s="190" t="s">
        <v>210</v>
      </c>
      <c r="C23" s="190" t="s">
        <v>211</v>
      </c>
      <c r="D23" s="190" t="s">
        <v>212</v>
      </c>
      <c r="E23" s="185" t="s">
        <v>314</v>
      </c>
      <c r="F23" s="183" t="s">
        <v>315</v>
      </c>
      <c r="G23" s="190" t="s">
        <v>215</v>
      </c>
      <c r="H23" s="183" t="s">
        <v>316</v>
      </c>
      <c r="I23" s="183" t="s">
        <v>217</v>
      </c>
      <c r="J23" s="183" t="s">
        <v>218</v>
      </c>
      <c r="K23" s="37" t="s">
        <v>45</v>
      </c>
      <c r="L23" s="184" t="s">
        <v>219</v>
      </c>
      <c r="M23" s="63">
        <v>46013</v>
      </c>
      <c r="N23" s="64">
        <v>45666</v>
      </c>
      <c r="O23" s="64"/>
      <c r="P23" s="178" t="s">
        <v>262</v>
      </c>
      <c r="Q23" s="117" t="s">
        <v>317</v>
      </c>
      <c r="R23" s="118" t="s">
        <v>317</v>
      </c>
    </row>
    <row r="24" spans="1:18" s="66" customFormat="1" ht="60">
      <c r="A24" s="58" t="s">
        <v>209</v>
      </c>
      <c r="B24" s="59" t="s">
        <v>210</v>
      </c>
      <c r="C24" s="59" t="s">
        <v>211</v>
      </c>
      <c r="D24" s="59" t="s">
        <v>212</v>
      </c>
      <c r="E24" s="185" t="s">
        <v>318</v>
      </c>
      <c r="F24" s="61" t="s">
        <v>319</v>
      </c>
      <c r="G24" s="59" t="s">
        <v>215</v>
      </c>
      <c r="H24" s="62" t="s">
        <v>320</v>
      </c>
      <c r="I24" s="62" t="s">
        <v>217</v>
      </c>
      <c r="J24" s="62" t="s">
        <v>218</v>
      </c>
      <c r="K24" s="37" t="s">
        <v>45</v>
      </c>
      <c r="L24" s="126" t="s">
        <v>321</v>
      </c>
      <c r="M24" s="63">
        <v>46013</v>
      </c>
      <c r="N24" s="64">
        <v>45666</v>
      </c>
      <c r="O24" s="107"/>
      <c r="P24" s="65"/>
      <c r="Q24" s="119" t="s">
        <v>322</v>
      </c>
      <c r="R24" s="120" t="s">
        <v>322</v>
      </c>
    </row>
    <row r="25" spans="1:18" s="66" customFormat="1" ht="75">
      <c r="A25" s="58" t="s">
        <v>209</v>
      </c>
      <c r="B25" s="59" t="s">
        <v>210</v>
      </c>
      <c r="C25" s="59" t="s">
        <v>211</v>
      </c>
      <c r="D25" s="59" t="s">
        <v>212</v>
      </c>
      <c r="E25" s="185" t="s">
        <v>323</v>
      </c>
      <c r="F25" s="61" t="s">
        <v>324</v>
      </c>
      <c r="G25" s="59" t="s">
        <v>215</v>
      </c>
      <c r="H25" s="62" t="s">
        <v>325</v>
      </c>
      <c r="I25" s="62" t="s">
        <v>217</v>
      </c>
      <c r="J25" s="62" t="s">
        <v>218</v>
      </c>
      <c r="K25" s="37" t="s">
        <v>45</v>
      </c>
      <c r="L25" s="126" t="s">
        <v>321</v>
      </c>
      <c r="M25" s="63">
        <v>46013</v>
      </c>
      <c r="N25" s="64">
        <v>45666</v>
      </c>
      <c r="O25" s="107"/>
      <c r="P25" s="65"/>
      <c r="Q25" s="119" t="s">
        <v>326</v>
      </c>
      <c r="R25" s="120" t="s">
        <v>327</v>
      </c>
    </row>
    <row r="26" spans="1:18" s="66" customFormat="1" ht="75">
      <c r="A26" s="58" t="s">
        <v>209</v>
      </c>
      <c r="B26" s="59" t="s">
        <v>210</v>
      </c>
      <c r="C26" s="59" t="s">
        <v>211</v>
      </c>
      <c r="D26" s="59" t="s">
        <v>212</v>
      </c>
      <c r="E26" s="185" t="s">
        <v>328</v>
      </c>
      <c r="F26" s="61" t="s">
        <v>329</v>
      </c>
      <c r="G26" s="59" t="s">
        <v>215</v>
      </c>
      <c r="H26" s="62" t="s">
        <v>330</v>
      </c>
      <c r="I26" s="62" t="s">
        <v>217</v>
      </c>
      <c r="J26" s="62" t="s">
        <v>218</v>
      </c>
      <c r="K26" s="37" t="s">
        <v>45</v>
      </c>
      <c r="L26" s="126" t="s">
        <v>321</v>
      </c>
      <c r="M26" s="63">
        <v>46013</v>
      </c>
      <c r="N26" s="64">
        <v>45666</v>
      </c>
      <c r="O26" s="107"/>
      <c r="P26" s="65"/>
      <c r="Q26" s="119" t="s">
        <v>326</v>
      </c>
      <c r="R26" s="120" t="s">
        <v>331</v>
      </c>
    </row>
    <row r="27" spans="1:18" s="66" customFormat="1" ht="75">
      <c r="A27" s="58" t="s">
        <v>209</v>
      </c>
      <c r="B27" s="59" t="s">
        <v>210</v>
      </c>
      <c r="C27" s="59" t="s">
        <v>211</v>
      </c>
      <c r="D27" s="59" t="s">
        <v>212</v>
      </c>
      <c r="E27" s="185" t="s">
        <v>332</v>
      </c>
      <c r="F27" s="61" t="s">
        <v>333</v>
      </c>
      <c r="G27" s="59" t="s">
        <v>215</v>
      </c>
      <c r="H27" s="62" t="s">
        <v>334</v>
      </c>
      <c r="I27" s="62" t="s">
        <v>217</v>
      </c>
      <c r="J27" s="62" t="s">
        <v>218</v>
      </c>
      <c r="K27" s="37" t="s">
        <v>45</v>
      </c>
      <c r="L27" s="126" t="s">
        <v>321</v>
      </c>
      <c r="M27" s="63">
        <v>46013</v>
      </c>
      <c r="N27" s="64">
        <v>45666</v>
      </c>
      <c r="O27" s="107"/>
      <c r="P27" s="65"/>
      <c r="Q27" s="119" t="s">
        <v>326</v>
      </c>
      <c r="R27" s="120" t="s">
        <v>335</v>
      </c>
    </row>
    <row r="28" spans="1:18" s="66" customFormat="1" ht="60">
      <c r="A28" s="58" t="s">
        <v>209</v>
      </c>
      <c r="B28" s="59" t="s">
        <v>210</v>
      </c>
      <c r="C28" s="59" t="s">
        <v>211</v>
      </c>
      <c r="D28" s="59" t="s">
        <v>212</v>
      </c>
      <c r="E28" s="185" t="s">
        <v>336</v>
      </c>
      <c r="F28" s="61" t="s">
        <v>337</v>
      </c>
      <c r="G28" s="59" t="s">
        <v>215</v>
      </c>
      <c r="H28" s="62" t="s">
        <v>338</v>
      </c>
      <c r="I28" s="62" t="s">
        <v>217</v>
      </c>
      <c r="J28" s="62" t="s">
        <v>218</v>
      </c>
      <c r="K28" s="37" t="s">
        <v>45</v>
      </c>
      <c r="L28" s="126" t="s">
        <v>219</v>
      </c>
      <c r="M28" s="63">
        <v>46013</v>
      </c>
      <c r="N28" s="64">
        <v>45666</v>
      </c>
      <c r="O28" s="107"/>
      <c r="P28" s="65"/>
      <c r="Q28" s="119" t="s">
        <v>339</v>
      </c>
      <c r="R28" s="120" t="s">
        <v>339</v>
      </c>
    </row>
    <row r="29" spans="1:18" s="66" customFormat="1" ht="135">
      <c r="A29" s="58" t="s">
        <v>209</v>
      </c>
      <c r="B29" s="59" t="s">
        <v>210</v>
      </c>
      <c r="C29" s="59" t="s">
        <v>211</v>
      </c>
      <c r="D29" s="59" t="s">
        <v>212</v>
      </c>
      <c r="E29" s="181" t="s">
        <v>340</v>
      </c>
      <c r="F29" s="61" t="s">
        <v>341</v>
      </c>
      <c r="G29" s="59" t="s">
        <v>215</v>
      </c>
      <c r="H29" s="61" t="s">
        <v>342</v>
      </c>
      <c r="I29" s="62" t="s">
        <v>217</v>
      </c>
      <c r="J29" s="62" t="s">
        <v>218</v>
      </c>
      <c r="K29" s="37" t="s">
        <v>45</v>
      </c>
      <c r="L29" s="126" t="s">
        <v>219</v>
      </c>
      <c r="M29" s="63">
        <v>46013</v>
      </c>
      <c r="N29" s="64">
        <v>45666</v>
      </c>
      <c r="O29" s="107"/>
      <c r="P29" s="65"/>
      <c r="Q29" s="117" t="s">
        <v>343</v>
      </c>
      <c r="R29" s="118" t="s">
        <v>344</v>
      </c>
    </row>
    <row r="30" spans="1:18" s="66" customFormat="1" ht="60">
      <c r="A30" s="58" t="s">
        <v>209</v>
      </c>
      <c r="B30" s="59" t="s">
        <v>210</v>
      </c>
      <c r="C30" s="59" t="s">
        <v>211</v>
      </c>
      <c r="D30" s="59" t="s">
        <v>212</v>
      </c>
      <c r="E30" s="185" t="s">
        <v>345</v>
      </c>
      <c r="F30" s="61" t="s">
        <v>346</v>
      </c>
      <c r="G30" s="59" t="s">
        <v>215</v>
      </c>
      <c r="H30" s="62" t="s">
        <v>347</v>
      </c>
      <c r="I30" s="62" t="s">
        <v>217</v>
      </c>
      <c r="J30" s="62" t="s">
        <v>218</v>
      </c>
      <c r="K30" s="37" t="s">
        <v>45</v>
      </c>
      <c r="L30" s="126" t="s">
        <v>219</v>
      </c>
      <c r="M30" s="63">
        <v>46013</v>
      </c>
      <c r="N30" s="64">
        <v>45666</v>
      </c>
      <c r="O30" s="107"/>
      <c r="P30" s="65"/>
      <c r="Q30" s="117" t="s">
        <v>348</v>
      </c>
      <c r="R30" s="118" t="s">
        <v>348</v>
      </c>
    </row>
    <row r="31" spans="1:18" s="66" customFormat="1" ht="60">
      <c r="A31" s="58" t="s">
        <v>209</v>
      </c>
      <c r="B31" s="59" t="s">
        <v>210</v>
      </c>
      <c r="C31" s="59" t="s">
        <v>211</v>
      </c>
      <c r="D31" s="59" t="s">
        <v>212</v>
      </c>
      <c r="E31" s="185" t="s">
        <v>349</v>
      </c>
      <c r="F31" s="61" t="s">
        <v>350</v>
      </c>
      <c r="G31" s="59" t="s">
        <v>215</v>
      </c>
      <c r="H31" s="62" t="s">
        <v>351</v>
      </c>
      <c r="I31" s="62" t="s">
        <v>217</v>
      </c>
      <c r="J31" s="62" t="s">
        <v>218</v>
      </c>
      <c r="K31" s="37" t="s">
        <v>45</v>
      </c>
      <c r="L31" s="126" t="s">
        <v>219</v>
      </c>
      <c r="M31" s="63">
        <v>46013</v>
      </c>
      <c r="N31" s="64">
        <v>45666</v>
      </c>
      <c r="O31" s="107"/>
      <c r="P31" s="65"/>
      <c r="Q31" s="117" t="s">
        <v>352</v>
      </c>
      <c r="R31" s="118" t="s">
        <v>353</v>
      </c>
    </row>
    <row r="32" spans="1:18" s="66" customFormat="1" ht="60" customHeight="1">
      <c r="A32" s="58" t="s">
        <v>209</v>
      </c>
      <c r="B32" s="59" t="s">
        <v>210</v>
      </c>
      <c r="C32" s="59" t="s">
        <v>211</v>
      </c>
      <c r="D32" s="59" t="s">
        <v>212</v>
      </c>
      <c r="E32" s="185" t="s">
        <v>354</v>
      </c>
      <c r="F32" s="61" t="s">
        <v>355</v>
      </c>
      <c r="G32" s="59" t="s">
        <v>215</v>
      </c>
      <c r="H32" s="62" t="s">
        <v>356</v>
      </c>
      <c r="I32" s="62" t="s">
        <v>217</v>
      </c>
      <c r="J32" s="62" t="s">
        <v>218</v>
      </c>
      <c r="K32" s="37" t="s">
        <v>45</v>
      </c>
      <c r="L32" s="126" t="s">
        <v>219</v>
      </c>
      <c r="M32" s="63">
        <v>46013</v>
      </c>
      <c r="N32" s="64">
        <v>45666</v>
      </c>
      <c r="O32" s="107"/>
      <c r="P32" s="65"/>
      <c r="Q32" s="117" t="s">
        <v>357</v>
      </c>
      <c r="R32" s="118" t="s">
        <v>358</v>
      </c>
    </row>
    <row r="33" spans="1:18" s="66" customFormat="1" ht="105">
      <c r="A33" s="58" t="s">
        <v>209</v>
      </c>
      <c r="B33" s="59" t="s">
        <v>210</v>
      </c>
      <c r="C33" s="59" t="s">
        <v>211</v>
      </c>
      <c r="D33" s="59" t="s">
        <v>212</v>
      </c>
      <c r="E33" s="185" t="s">
        <v>359</v>
      </c>
      <c r="F33" s="61" t="s">
        <v>360</v>
      </c>
      <c r="G33" s="59" t="s">
        <v>215</v>
      </c>
      <c r="H33" s="62" t="s">
        <v>361</v>
      </c>
      <c r="I33" s="62" t="s">
        <v>217</v>
      </c>
      <c r="J33" s="62" t="s">
        <v>218</v>
      </c>
      <c r="K33" s="37" t="s">
        <v>45</v>
      </c>
      <c r="L33" s="126" t="s">
        <v>219</v>
      </c>
      <c r="M33" s="63">
        <v>46013</v>
      </c>
      <c r="N33" s="64">
        <v>45666</v>
      </c>
      <c r="O33" s="107"/>
      <c r="P33" s="65"/>
      <c r="Q33" s="119" t="s">
        <v>362</v>
      </c>
      <c r="R33" s="120" t="s">
        <v>363</v>
      </c>
    </row>
    <row r="34" spans="1:18" s="66" customFormat="1" ht="60">
      <c r="A34" s="58" t="s">
        <v>209</v>
      </c>
      <c r="B34" s="59" t="s">
        <v>210</v>
      </c>
      <c r="C34" s="59" t="s">
        <v>211</v>
      </c>
      <c r="D34" s="59" t="s">
        <v>212</v>
      </c>
      <c r="E34" s="185" t="s">
        <v>364</v>
      </c>
      <c r="F34" s="61" t="s">
        <v>365</v>
      </c>
      <c r="G34" s="59" t="s">
        <v>215</v>
      </c>
      <c r="H34" s="62" t="s">
        <v>366</v>
      </c>
      <c r="I34" s="62" t="s">
        <v>217</v>
      </c>
      <c r="J34" s="62" t="s">
        <v>218</v>
      </c>
      <c r="K34" s="37" t="s">
        <v>45</v>
      </c>
      <c r="L34" s="126" t="s">
        <v>219</v>
      </c>
      <c r="M34" s="63">
        <v>46013</v>
      </c>
      <c r="N34" s="64">
        <v>45666</v>
      </c>
      <c r="O34" s="107"/>
      <c r="P34" s="65"/>
      <c r="Q34" s="117" t="s">
        <v>367</v>
      </c>
      <c r="R34" s="118" t="s">
        <v>368</v>
      </c>
    </row>
    <row r="35" spans="1:18" s="66" customFormat="1" ht="104.45" customHeight="1">
      <c r="A35" s="58" t="s">
        <v>209</v>
      </c>
      <c r="B35" s="59" t="s">
        <v>210</v>
      </c>
      <c r="C35" s="59" t="s">
        <v>211</v>
      </c>
      <c r="D35" s="59" t="s">
        <v>212</v>
      </c>
      <c r="E35" s="181" t="s">
        <v>369</v>
      </c>
      <c r="F35" s="61" t="s">
        <v>370</v>
      </c>
      <c r="G35" s="59" t="s">
        <v>215</v>
      </c>
      <c r="H35" s="62" t="s">
        <v>371</v>
      </c>
      <c r="I35" s="62" t="s">
        <v>217</v>
      </c>
      <c r="J35" s="62" t="s">
        <v>218</v>
      </c>
      <c r="K35" s="37" t="s">
        <v>45</v>
      </c>
      <c r="L35" s="126" t="s">
        <v>219</v>
      </c>
      <c r="M35" s="63">
        <v>46013</v>
      </c>
      <c r="N35" s="64">
        <v>45666</v>
      </c>
      <c r="O35" s="107"/>
      <c r="P35" s="65"/>
      <c r="Q35" s="119" t="s">
        <v>372</v>
      </c>
      <c r="R35" s="120" t="s">
        <v>373</v>
      </c>
    </row>
    <row r="36" spans="1:18" ht="60">
      <c r="A36" s="58" t="s">
        <v>209</v>
      </c>
      <c r="B36" s="59" t="s">
        <v>210</v>
      </c>
      <c r="C36" s="121" t="s">
        <v>211</v>
      </c>
      <c r="D36" s="121" t="s">
        <v>212</v>
      </c>
      <c r="E36" s="60" t="s">
        <v>374</v>
      </c>
      <c r="F36" s="122" t="s">
        <v>375</v>
      </c>
      <c r="G36" s="121" t="s">
        <v>215</v>
      </c>
      <c r="H36" s="123" t="s">
        <v>376</v>
      </c>
      <c r="I36" s="123" t="s">
        <v>217</v>
      </c>
      <c r="J36" s="123" t="s">
        <v>218</v>
      </c>
      <c r="K36" s="124"/>
      <c r="L36" s="98" t="s">
        <v>219</v>
      </c>
      <c r="M36" s="125">
        <v>46013</v>
      </c>
      <c r="N36" s="64">
        <v>45666</v>
      </c>
      <c r="O36" s="201">
        <v>46027</v>
      </c>
      <c r="P36" s="69"/>
      <c r="Q36" s="160" t="s">
        <v>377</v>
      </c>
      <c r="R36" s="161" t="s">
        <v>378</v>
      </c>
    </row>
    <row r="37" spans="1:18" ht="60">
      <c r="A37" s="58" t="s">
        <v>209</v>
      </c>
      <c r="B37" s="59" t="s">
        <v>210</v>
      </c>
      <c r="C37" s="121" t="s">
        <v>211</v>
      </c>
      <c r="D37" s="121" t="s">
        <v>212</v>
      </c>
      <c r="E37" s="60" t="s">
        <v>379</v>
      </c>
      <c r="F37" s="166" t="s">
        <v>380</v>
      </c>
      <c r="G37" s="121" t="s">
        <v>215</v>
      </c>
      <c r="H37" s="62" t="s">
        <v>381</v>
      </c>
      <c r="I37" s="123" t="s">
        <v>217</v>
      </c>
      <c r="J37" s="123" t="s">
        <v>218</v>
      </c>
      <c r="K37" s="124"/>
      <c r="L37" s="121" t="s">
        <v>219</v>
      </c>
      <c r="M37" s="125">
        <v>46013</v>
      </c>
      <c r="N37" s="64">
        <v>45666</v>
      </c>
      <c r="O37" s="201">
        <v>46027</v>
      </c>
      <c r="P37" s="163"/>
      <c r="Q37" s="7" t="s">
        <v>382</v>
      </c>
      <c r="R37" s="165" t="s">
        <v>383</v>
      </c>
    </row>
    <row r="38" spans="1:18" s="20" customFormat="1" ht="60">
      <c r="C38" s="121" t="s">
        <v>211</v>
      </c>
      <c r="D38" s="121" t="s">
        <v>212</v>
      </c>
      <c r="E38" s="60" t="s">
        <v>384</v>
      </c>
      <c r="F38" s="167" t="s">
        <v>385</v>
      </c>
      <c r="G38" s="121" t="s">
        <v>215</v>
      </c>
      <c r="H38" s="61" t="s">
        <v>386</v>
      </c>
      <c r="I38" s="122" t="s">
        <v>217</v>
      </c>
      <c r="J38" s="122" t="s">
        <v>218</v>
      </c>
      <c r="K38" s="124"/>
      <c r="L38" s="121" t="s">
        <v>219</v>
      </c>
      <c r="M38" s="168">
        <v>46013</v>
      </c>
      <c r="N38" s="64">
        <v>45666</v>
      </c>
      <c r="O38" s="202"/>
      <c r="P38" s="169"/>
      <c r="Q38" s="170" t="s">
        <v>387</v>
      </c>
      <c r="R38" s="170" t="s">
        <v>388</v>
      </c>
    </row>
    <row r="39" spans="1:18">
      <c r="P39" s="113">
        <f>(COUNTIF(P2:P35,"OK")/(COUNTBLANK(P2:P35)+(COUNTA(P2:P35)-(COUNTIF(P2:P35,"N/A")))))</f>
        <v>0</v>
      </c>
      <c r="Q39" s="164" t="s">
        <v>195</v>
      </c>
    </row>
    <row r="40" spans="1:18">
      <c r="P40" s="13">
        <f>COUNTBLANK(P2:P38)+(COUNTA(P2:P38)-(COUNTIF(P2:P38,"N/A"))-(COUNTIF(P2:P38,"OK"))-(COUNTIF(P2:P38,"KO")))</f>
        <v>37</v>
      </c>
      <c r="Q40" s="7" t="s">
        <v>196</v>
      </c>
    </row>
    <row r="41" spans="1:18">
      <c r="P41" s="13">
        <f>COUNTIF(P2:P35,"KO")</f>
        <v>0</v>
      </c>
      <c r="Q41" s="7" t="s">
        <v>3</v>
      </c>
    </row>
    <row r="42" spans="1:18">
      <c r="P42" s="13">
        <f>COUNTIF(P2:P35,"OK")</f>
        <v>0</v>
      </c>
      <c r="Q42" s="7" t="s">
        <v>2</v>
      </c>
    </row>
    <row r="43" spans="1:18">
      <c r="P43" s="13">
        <f>COUNTBLANK(P2:P38)+(COUNTA(P2:P38)-(COUNTIF(P2:P38,"N/A")))</f>
        <v>37</v>
      </c>
      <c r="Q43" s="7" t="s">
        <v>197</v>
      </c>
    </row>
  </sheetData>
  <autoFilter ref="A1:R43" xr:uid="{7FCCE364-C4E7-46F5-BC5E-F89B0CEE0F87}"/>
  <dataValidations count="1">
    <dataValidation type="list" allowBlank="1" showInputMessage="1" showErrorMessage="1" sqref="K2:K38" xr:uid="{DE25F2DA-0D2D-47B5-96B5-742DF79D918B}">
      <formula1>estadocdp</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355536A-8B2D-4A55-89EB-5729F0AE4951}">
          <x14:formula1>
            <xm:f>Listados!$A$2:$A$5</xm:f>
          </x14:formula1>
          <xm:sqref>P2:P38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CFA9A-E4B3-48AA-86AA-71959025480D}">
  <dimension ref="A1:R23"/>
  <sheetViews>
    <sheetView topLeftCell="I15" zoomScale="80" zoomScaleNormal="80" workbookViewId="0">
      <selection activeCell="J25" sqref="J25"/>
    </sheetView>
  </sheetViews>
  <sheetFormatPr defaultColWidth="11.42578125" defaultRowHeight="15"/>
  <cols>
    <col min="1" max="1" width="38.42578125" customWidth="1"/>
    <col min="3" max="3" width="11.140625" bestFit="1" customWidth="1"/>
    <col min="4" max="4" width="13.140625" bestFit="1" customWidth="1"/>
    <col min="5" max="5" width="17.5703125" style="20" customWidth="1"/>
    <col min="6" max="6" width="54.7109375" style="20" customWidth="1"/>
    <col min="7" max="7" width="17.5703125" bestFit="1" customWidth="1"/>
    <col min="8" max="8" width="34.5703125" customWidth="1"/>
    <col min="9" max="9" width="50.85546875" customWidth="1"/>
    <col min="10" max="10" width="22.140625" bestFit="1" customWidth="1"/>
    <col min="11" max="11" width="16.42578125" customWidth="1"/>
    <col min="12" max="12" width="12.140625" bestFit="1" customWidth="1"/>
    <col min="15" max="15" width="14.42578125" bestFit="1" customWidth="1"/>
    <col min="16" max="16" width="17.140625" customWidth="1"/>
    <col min="17" max="17" width="59.28515625" customWidth="1"/>
    <col min="18" max="18" width="73" customWidth="1"/>
  </cols>
  <sheetData>
    <row r="1" spans="1:18" s="15" customFormat="1" ht="30">
      <c r="A1" s="14" t="s">
        <v>198</v>
      </c>
      <c r="B1" s="14" t="s">
        <v>199</v>
      </c>
      <c r="C1" s="14" t="s">
        <v>200</v>
      </c>
      <c r="D1" s="14" t="s">
        <v>201</v>
      </c>
      <c r="E1" s="14" t="s">
        <v>202</v>
      </c>
      <c r="F1" s="14" t="s">
        <v>203</v>
      </c>
      <c r="G1" s="14" t="s">
        <v>204</v>
      </c>
      <c r="H1" s="14" t="s">
        <v>205</v>
      </c>
      <c r="I1" s="14" t="s">
        <v>206</v>
      </c>
      <c r="J1" s="14" t="s">
        <v>28</v>
      </c>
      <c r="K1" s="21" t="s">
        <v>29</v>
      </c>
      <c r="L1" s="22" t="s">
        <v>30</v>
      </c>
      <c r="M1" s="22" t="s">
        <v>31</v>
      </c>
      <c r="N1" s="22" t="s">
        <v>32</v>
      </c>
      <c r="O1" s="22" t="s">
        <v>33</v>
      </c>
      <c r="P1" s="22" t="s">
        <v>34</v>
      </c>
      <c r="Q1" s="2" t="s">
        <v>207</v>
      </c>
      <c r="R1" s="2" t="s">
        <v>208</v>
      </c>
    </row>
    <row r="2" spans="1:18" ht="90">
      <c r="A2" s="16" t="s">
        <v>209</v>
      </c>
      <c r="B2" s="17" t="s">
        <v>210</v>
      </c>
      <c r="C2" s="17" t="s">
        <v>211</v>
      </c>
      <c r="D2" s="17" t="s">
        <v>212</v>
      </c>
      <c r="E2" s="18" t="s">
        <v>389</v>
      </c>
      <c r="F2" s="18" t="s">
        <v>390</v>
      </c>
      <c r="G2" s="17" t="s">
        <v>391</v>
      </c>
      <c r="H2" s="19" t="s">
        <v>392</v>
      </c>
      <c r="I2" s="19" t="s">
        <v>393</v>
      </c>
      <c r="J2" s="19" t="s">
        <v>394</v>
      </c>
      <c r="K2" s="13" t="s">
        <v>45</v>
      </c>
      <c r="L2" s="13" t="s">
        <v>395</v>
      </c>
      <c r="M2" s="42">
        <v>45662</v>
      </c>
      <c r="N2" s="42">
        <v>45666</v>
      </c>
      <c r="O2" s="100"/>
      <c r="P2" s="52"/>
      <c r="Q2" s="129" t="s">
        <v>396</v>
      </c>
      <c r="R2" s="129" t="s">
        <v>397</v>
      </c>
    </row>
    <row r="3" spans="1:18" ht="60">
      <c r="A3" s="16" t="s">
        <v>209</v>
      </c>
      <c r="B3" s="17" t="s">
        <v>210</v>
      </c>
      <c r="C3" s="17" t="s">
        <v>211</v>
      </c>
      <c r="D3" s="17" t="s">
        <v>212</v>
      </c>
      <c r="E3" s="18" t="s">
        <v>398</v>
      </c>
      <c r="F3" s="18" t="s">
        <v>399</v>
      </c>
      <c r="G3" s="17" t="s">
        <v>391</v>
      </c>
      <c r="H3" s="19" t="s">
        <v>400</v>
      </c>
      <c r="I3" s="19" t="s">
        <v>393</v>
      </c>
      <c r="J3" s="19" t="s">
        <v>394</v>
      </c>
      <c r="K3" s="13" t="s">
        <v>45</v>
      </c>
      <c r="L3" s="13" t="s">
        <v>395</v>
      </c>
      <c r="M3" s="42">
        <v>45662</v>
      </c>
      <c r="N3" s="42">
        <v>45666</v>
      </c>
      <c r="O3" s="100"/>
      <c r="P3" s="52"/>
      <c r="Q3" s="129" t="s">
        <v>401</v>
      </c>
      <c r="R3" s="129" t="s">
        <v>402</v>
      </c>
    </row>
    <row r="4" spans="1:18" ht="90">
      <c r="A4" s="16" t="s">
        <v>209</v>
      </c>
      <c r="B4" s="17" t="s">
        <v>210</v>
      </c>
      <c r="C4" s="17" t="s">
        <v>211</v>
      </c>
      <c r="D4" s="17" t="s">
        <v>212</v>
      </c>
      <c r="E4" s="18" t="s">
        <v>403</v>
      </c>
      <c r="F4" s="18" t="s">
        <v>404</v>
      </c>
      <c r="G4" s="17" t="s">
        <v>391</v>
      </c>
      <c r="H4" s="19" t="s">
        <v>405</v>
      </c>
      <c r="I4" s="19" t="s">
        <v>393</v>
      </c>
      <c r="J4" s="19" t="s">
        <v>394</v>
      </c>
      <c r="K4" s="13" t="s">
        <v>45</v>
      </c>
      <c r="L4" s="13" t="s">
        <v>395</v>
      </c>
      <c r="M4" s="42">
        <v>45662</v>
      </c>
      <c r="N4" s="42">
        <v>45666</v>
      </c>
      <c r="O4" s="100"/>
      <c r="P4" s="52"/>
      <c r="Q4" s="129" t="s">
        <v>406</v>
      </c>
      <c r="R4" s="129" t="s">
        <v>407</v>
      </c>
    </row>
    <row r="5" spans="1:18" ht="120">
      <c r="A5" s="16" t="s">
        <v>209</v>
      </c>
      <c r="B5" s="17" t="s">
        <v>210</v>
      </c>
      <c r="C5" s="17" t="s">
        <v>211</v>
      </c>
      <c r="D5" s="17" t="s">
        <v>212</v>
      </c>
      <c r="E5" s="18" t="s">
        <v>408</v>
      </c>
      <c r="F5" s="18" t="s">
        <v>409</v>
      </c>
      <c r="G5" s="17" t="s">
        <v>391</v>
      </c>
      <c r="H5" s="19" t="s">
        <v>410</v>
      </c>
      <c r="I5" s="19" t="s">
        <v>393</v>
      </c>
      <c r="J5" s="19" t="s">
        <v>394</v>
      </c>
      <c r="K5" s="13" t="s">
        <v>45</v>
      </c>
      <c r="L5" s="13" t="s">
        <v>395</v>
      </c>
      <c r="M5" s="42">
        <v>45662</v>
      </c>
      <c r="N5" s="42">
        <v>45666</v>
      </c>
      <c r="O5" s="100"/>
      <c r="P5" s="52"/>
      <c r="Q5" s="129" t="s">
        <v>411</v>
      </c>
      <c r="R5" s="129" t="s">
        <v>412</v>
      </c>
    </row>
    <row r="6" spans="1:18" ht="45">
      <c r="A6" s="16" t="s">
        <v>209</v>
      </c>
      <c r="B6" s="17" t="s">
        <v>210</v>
      </c>
      <c r="C6" s="17" t="s">
        <v>211</v>
      </c>
      <c r="D6" s="17" t="s">
        <v>212</v>
      </c>
      <c r="E6" s="18" t="s">
        <v>413</v>
      </c>
      <c r="F6" s="18" t="s">
        <v>414</v>
      </c>
      <c r="G6" s="17" t="s">
        <v>391</v>
      </c>
      <c r="H6" s="19" t="s">
        <v>415</v>
      </c>
      <c r="I6" s="19" t="s">
        <v>393</v>
      </c>
      <c r="J6" s="19" t="s">
        <v>394</v>
      </c>
      <c r="K6" s="13" t="s">
        <v>45</v>
      </c>
      <c r="L6" s="13" t="s">
        <v>416</v>
      </c>
      <c r="M6" s="42">
        <v>45662</v>
      </c>
      <c r="N6" s="42">
        <v>45666</v>
      </c>
      <c r="O6" s="100"/>
      <c r="P6" s="52"/>
      <c r="Q6" s="130"/>
      <c r="R6" s="20"/>
    </row>
    <row r="7" spans="1:18" ht="45">
      <c r="A7" s="16" t="s">
        <v>209</v>
      </c>
      <c r="B7" s="17" t="s">
        <v>210</v>
      </c>
      <c r="C7" s="17" t="s">
        <v>211</v>
      </c>
      <c r="D7" s="17" t="s">
        <v>212</v>
      </c>
      <c r="E7" s="18" t="s">
        <v>417</v>
      </c>
      <c r="F7" s="18" t="s">
        <v>418</v>
      </c>
      <c r="G7" s="17" t="s">
        <v>391</v>
      </c>
      <c r="H7" s="19" t="s">
        <v>419</v>
      </c>
      <c r="I7" s="19" t="s">
        <v>393</v>
      </c>
      <c r="J7" s="19" t="s">
        <v>394</v>
      </c>
      <c r="K7" s="13" t="s">
        <v>45</v>
      </c>
      <c r="L7" s="13" t="s">
        <v>416</v>
      </c>
      <c r="M7" s="42">
        <v>45662</v>
      </c>
      <c r="N7" s="42">
        <v>45666</v>
      </c>
      <c r="O7" s="100"/>
      <c r="P7" s="52"/>
      <c r="Q7" s="130"/>
      <c r="R7" s="130"/>
    </row>
    <row r="8" spans="1:18" ht="75">
      <c r="A8" s="16" t="s">
        <v>209</v>
      </c>
      <c r="B8" s="17" t="s">
        <v>210</v>
      </c>
      <c r="C8" s="17" t="s">
        <v>211</v>
      </c>
      <c r="D8" s="17" t="s">
        <v>212</v>
      </c>
      <c r="E8" s="18" t="s">
        <v>420</v>
      </c>
      <c r="F8" s="18" t="s">
        <v>421</v>
      </c>
      <c r="G8" s="17" t="s">
        <v>391</v>
      </c>
      <c r="H8" s="19" t="s">
        <v>422</v>
      </c>
      <c r="I8" s="19" t="s">
        <v>393</v>
      </c>
      <c r="J8" s="19" t="s">
        <v>394</v>
      </c>
      <c r="K8" s="13" t="s">
        <v>45</v>
      </c>
      <c r="L8" s="13" t="s">
        <v>416</v>
      </c>
      <c r="M8" s="42">
        <v>45662</v>
      </c>
      <c r="N8" s="42">
        <v>45666</v>
      </c>
      <c r="O8" s="100"/>
      <c r="P8" s="52"/>
      <c r="Q8" s="129" t="s">
        <v>423</v>
      </c>
      <c r="R8" s="129" t="s">
        <v>424</v>
      </c>
    </row>
    <row r="9" spans="1:18" ht="60">
      <c r="A9" s="16" t="s">
        <v>209</v>
      </c>
      <c r="B9" s="17" t="s">
        <v>210</v>
      </c>
      <c r="C9" s="17" t="s">
        <v>211</v>
      </c>
      <c r="D9" s="17" t="s">
        <v>212</v>
      </c>
      <c r="E9" s="18" t="s">
        <v>425</v>
      </c>
      <c r="F9" s="18" t="s">
        <v>426</v>
      </c>
      <c r="G9" s="17" t="s">
        <v>391</v>
      </c>
      <c r="H9" s="19" t="s">
        <v>427</v>
      </c>
      <c r="I9" s="19" t="s">
        <v>393</v>
      </c>
      <c r="J9" s="19" t="s">
        <v>394</v>
      </c>
      <c r="K9" s="13" t="s">
        <v>45</v>
      </c>
      <c r="L9" s="13" t="s">
        <v>416</v>
      </c>
      <c r="M9" s="42">
        <v>45662</v>
      </c>
      <c r="N9" s="42">
        <v>45666</v>
      </c>
      <c r="O9" s="100"/>
      <c r="P9" s="52"/>
      <c r="Q9" s="129" t="s">
        <v>428</v>
      </c>
      <c r="R9" s="129" t="s">
        <v>429</v>
      </c>
    </row>
    <row r="10" spans="1:18" ht="60">
      <c r="A10" s="16" t="s">
        <v>209</v>
      </c>
      <c r="B10" s="17" t="s">
        <v>210</v>
      </c>
      <c r="C10" s="17" t="s">
        <v>211</v>
      </c>
      <c r="D10" s="17" t="s">
        <v>212</v>
      </c>
      <c r="E10" s="18" t="s">
        <v>430</v>
      </c>
      <c r="F10" s="18" t="s">
        <v>431</v>
      </c>
      <c r="G10" s="17" t="s">
        <v>391</v>
      </c>
      <c r="H10" s="19" t="s">
        <v>432</v>
      </c>
      <c r="I10" s="19" t="s">
        <v>393</v>
      </c>
      <c r="J10" s="19" t="s">
        <v>394</v>
      </c>
      <c r="K10" s="13" t="s">
        <v>45</v>
      </c>
      <c r="L10" s="13" t="s">
        <v>416</v>
      </c>
      <c r="M10" s="42">
        <v>45662</v>
      </c>
      <c r="N10" s="42">
        <v>45666</v>
      </c>
      <c r="O10" s="100"/>
      <c r="P10" s="52"/>
      <c r="Q10" s="129" t="s">
        <v>433</v>
      </c>
      <c r="R10" s="129" t="s">
        <v>434</v>
      </c>
    </row>
    <row r="11" spans="1:18" ht="60">
      <c r="A11" s="16" t="s">
        <v>209</v>
      </c>
      <c r="B11" s="17" t="s">
        <v>210</v>
      </c>
      <c r="C11" s="17" t="s">
        <v>211</v>
      </c>
      <c r="D11" s="17" t="s">
        <v>212</v>
      </c>
      <c r="E11" s="18" t="s">
        <v>435</v>
      </c>
      <c r="F11" s="18" t="s">
        <v>436</v>
      </c>
      <c r="G11" s="17" t="s">
        <v>391</v>
      </c>
      <c r="H11" s="19" t="s">
        <v>437</v>
      </c>
      <c r="I11" s="19" t="s">
        <v>393</v>
      </c>
      <c r="J11" s="19" t="s">
        <v>394</v>
      </c>
      <c r="K11" s="13" t="s">
        <v>45</v>
      </c>
      <c r="L11" s="13" t="s">
        <v>416</v>
      </c>
      <c r="M11" s="42">
        <v>45662</v>
      </c>
      <c r="N11" s="42">
        <v>45666</v>
      </c>
      <c r="O11" s="100"/>
      <c r="P11" s="52"/>
      <c r="Q11" s="128" t="s">
        <v>438</v>
      </c>
      <c r="R11" s="129" t="s">
        <v>439</v>
      </c>
    </row>
    <row r="12" spans="1:18" ht="60">
      <c r="A12" s="16" t="s">
        <v>209</v>
      </c>
      <c r="B12" s="17" t="s">
        <v>210</v>
      </c>
      <c r="C12" s="17" t="s">
        <v>211</v>
      </c>
      <c r="D12" s="17" t="s">
        <v>212</v>
      </c>
      <c r="E12" s="18" t="s">
        <v>440</v>
      </c>
      <c r="F12" s="18" t="s">
        <v>441</v>
      </c>
      <c r="G12" s="17" t="s">
        <v>391</v>
      </c>
      <c r="H12" s="19" t="s">
        <v>442</v>
      </c>
      <c r="I12" s="19" t="s">
        <v>393</v>
      </c>
      <c r="J12" s="19" t="s">
        <v>394</v>
      </c>
      <c r="K12" s="13" t="s">
        <v>45</v>
      </c>
      <c r="L12" s="13" t="s">
        <v>416</v>
      </c>
      <c r="M12" s="42">
        <v>45662</v>
      </c>
      <c r="N12" s="42">
        <v>45666</v>
      </c>
      <c r="O12" s="100"/>
      <c r="P12" s="52"/>
      <c r="Q12" s="128" t="s">
        <v>443</v>
      </c>
      <c r="R12" s="129" t="s">
        <v>444</v>
      </c>
    </row>
    <row r="13" spans="1:18" ht="60">
      <c r="A13" s="16" t="s">
        <v>209</v>
      </c>
      <c r="B13" s="17" t="s">
        <v>210</v>
      </c>
      <c r="C13" s="17" t="s">
        <v>211</v>
      </c>
      <c r="D13" s="17" t="s">
        <v>212</v>
      </c>
      <c r="E13" s="18" t="s">
        <v>445</v>
      </c>
      <c r="F13" s="18" t="s">
        <v>446</v>
      </c>
      <c r="G13" s="17" t="s">
        <v>391</v>
      </c>
      <c r="H13" s="19" t="s">
        <v>447</v>
      </c>
      <c r="I13" s="19" t="s">
        <v>393</v>
      </c>
      <c r="J13" s="19" t="s">
        <v>394</v>
      </c>
      <c r="K13" s="13" t="s">
        <v>45</v>
      </c>
      <c r="L13" s="13" t="s">
        <v>416</v>
      </c>
      <c r="M13" s="42">
        <v>45662</v>
      </c>
      <c r="N13" s="42">
        <v>45666</v>
      </c>
      <c r="O13" s="100"/>
      <c r="P13" s="52"/>
      <c r="Q13" s="128" t="s">
        <v>448</v>
      </c>
      <c r="R13" s="129" t="s">
        <v>449</v>
      </c>
    </row>
    <row r="14" spans="1:18" ht="60">
      <c r="A14" s="16" t="s">
        <v>209</v>
      </c>
      <c r="B14" s="17" t="s">
        <v>210</v>
      </c>
      <c r="C14" s="17" t="s">
        <v>211</v>
      </c>
      <c r="D14" s="17" t="s">
        <v>212</v>
      </c>
      <c r="E14" s="18" t="s">
        <v>450</v>
      </c>
      <c r="F14" s="18" t="s">
        <v>451</v>
      </c>
      <c r="G14" s="17" t="s">
        <v>391</v>
      </c>
      <c r="H14" s="19" t="s">
        <v>452</v>
      </c>
      <c r="I14" s="19" t="s">
        <v>393</v>
      </c>
      <c r="J14" s="19" t="s">
        <v>394</v>
      </c>
      <c r="K14" s="13" t="s">
        <v>45</v>
      </c>
      <c r="L14" s="13" t="s">
        <v>416</v>
      </c>
      <c r="M14" s="42">
        <v>45662</v>
      </c>
      <c r="N14" s="42">
        <v>45666</v>
      </c>
      <c r="O14" s="100"/>
      <c r="P14" s="52"/>
      <c r="Q14" s="128" t="s">
        <v>453</v>
      </c>
      <c r="R14" s="129" t="s">
        <v>454</v>
      </c>
    </row>
    <row r="15" spans="1:18" ht="60">
      <c r="A15" s="16" t="s">
        <v>209</v>
      </c>
      <c r="B15" s="17" t="s">
        <v>210</v>
      </c>
      <c r="C15" s="17" t="s">
        <v>211</v>
      </c>
      <c r="D15" s="17" t="s">
        <v>212</v>
      </c>
      <c r="E15" s="18" t="s">
        <v>455</v>
      </c>
      <c r="F15" s="18" t="s">
        <v>456</v>
      </c>
      <c r="G15" s="17" t="s">
        <v>391</v>
      </c>
      <c r="H15" s="19" t="s">
        <v>457</v>
      </c>
      <c r="I15" s="19" t="s">
        <v>393</v>
      </c>
      <c r="J15" s="19" t="s">
        <v>394</v>
      </c>
      <c r="K15" s="13" t="s">
        <v>45</v>
      </c>
      <c r="L15" s="13" t="s">
        <v>416</v>
      </c>
      <c r="M15" s="42">
        <v>45662</v>
      </c>
      <c r="N15" s="42">
        <v>45666</v>
      </c>
      <c r="O15" s="100"/>
      <c r="P15" s="52"/>
      <c r="Q15" s="128" t="s">
        <v>458</v>
      </c>
      <c r="R15" s="129" t="s">
        <v>459</v>
      </c>
    </row>
    <row r="16" spans="1:18" ht="60">
      <c r="A16" s="16" t="s">
        <v>209</v>
      </c>
      <c r="B16" s="17" t="s">
        <v>210</v>
      </c>
      <c r="C16" s="17" t="s">
        <v>211</v>
      </c>
      <c r="D16" s="17" t="s">
        <v>212</v>
      </c>
      <c r="E16" s="18" t="s">
        <v>460</v>
      </c>
      <c r="F16" s="18" t="s">
        <v>461</v>
      </c>
      <c r="G16" s="17" t="s">
        <v>391</v>
      </c>
      <c r="H16" s="19" t="s">
        <v>462</v>
      </c>
      <c r="I16" s="19" t="s">
        <v>393</v>
      </c>
      <c r="J16" s="19" t="s">
        <v>394</v>
      </c>
      <c r="K16" s="13" t="s">
        <v>45</v>
      </c>
      <c r="L16" s="13" t="s">
        <v>416</v>
      </c>
      <c r="M16" s="42">
        <v>45662</v>
      </c>
      <c r="N16" s="42">
        <v>45666</v>
      </c>
      <c r="O16" s="100"/>
      <c r="P16" s="52"/>
      <c r="Q16" s="128" t="s">
        <v>463</v>
      </c>
      <c r="R16" s="129" t="s">
        <v>464</v>
      </c>
    </row>
    <row r="17" spans="1:18" ht="60">
      <c r="A17" s="16" t="s">
        <v>209</v>
      </c>
      <c r="B17" s="17" t="s">
        <v>210</v>
      </c>
      <c r="C17" s="17" t="s">
        <v>211</v>
      </c>
      <c r="D17" s="17" t="s">
        <v>212</v>
      </c>
      <c r="E17" s="18" t="s">
        <v>465</v>
      </c>
      <c r="F17" s="18" t="s">
        <v>466</v>
      </c>
      <c r="G17" s="17" t="s">
        <v>391</v>
      </c>
      <c r="H17" s="19" t="s">
        <v>467</v>
      </c>
      <c r="I17" s="19" t="s">
        <v>393</v>
      </c>
      <c r="J17" s="19" t="s">
        <v>394</v>
      </c>
      <c r="K17" s="13" t="s">
        <v>45</v>
      </c>
      <c r="L17" s="13" t="s">
        <v>416</v>
      </c>
      <c r="M17" s="42">
        <v>45662</v>
      </c>
      <c r="N17" s="42">
        <v>45666</v>
      </c>
      <c r="O17" s="100"/>
      <c r="P17" s="52"/>
      <c r="Q17" s="128" t="s">
        <v>468</v>
      </c>
      <c r="R17" s="129" t="s">
        <v>469</v>
      </c>
    </row>
    <row r="18" spans="1:18" ht="60">
      <c r="A18" s="16" t="s">
        <v>209</v>
      </c>
      <c r="B18" s="17" t="s">
        <v>210</v>
      </c>
      <c r="C18" s="17" t="s">
        <v>211</v>
      </c>
      <c r="D18" s="17" t="s">
        <v>212</v>
      </c>
      <c r="E18" s="18" t="s">
        <v>470</v>
      </c>
      <c r="F18" s="18" t="s">
        <v>471</v>
      </c>
      <c r="G18" s="17" t="s">
        <v>391</v>
      </c>
      <c r="H18" s="19" t="s">
        <v>472</v>
      </c>
      <c r="I18" s="19" t="s">
        <v>393</v>
      </c>
      <c r="J18" s="19" t="s">
        <v>394</v>
      </c>
      <c r="K18" s="13" t="s">
        <v>45</v>
      </c>
      <c r="L18" s="13" t="s">
        <v>416</v>
      </c>
      <c r="M18" s="42">
        <v>45662</v>
      </c>
      <c r="N18" s="42">
        <v>45666</v>
      </c>
      <c r="O18" s="100"/>
      <c r="P18" s="52"/>
      <c r="Q18" s="128" t="s">
        <v>473</v>
      </c>
      <c r="R18" s="129" t="s">
        <v>474</v>
      </c>
    </row>
    <row r="19" spans="1:18">
      <c r="P19" s="113">
        <f>(COUNTIF(P2:P18,"OK")/(COUNTBLANK(P2:P18)+(COUNTA(P2:P18)-(COUNTIF(P2:P18,"N/A")))))</f>
        <v>0</v>
      </c>
      <c r="Q19" s="114" t="s">
        <v>195</v>
      </c>
    </row>
    <row r="20" spans="1:18">
      <c r="P20" s="13">
        <f>COUNTBLANK(P2:P18)+(COUNTA(P2:P18)-(COUNTIF(P2:P18,"N/A"))-(COUNTIF(P2:P18,"OK"))-(COUNTIF(P2:P18,"KO")))</f>
        <v>17</v>
      </c>
      <c r="Q20" s="13" t="s">
        <v>196</v>
      </c>
    </row>
    <row r="21" spans="1:18">
      <c r="P21" s="13">
        <f>COUNTIF(P2:P18,"KO")</f>
        <v>0</v>
      </c>
      <c r="Q21" s="13" t="s">
        <v>3</v>
      </c>
    </row>
    <row r="22" spans="1:18">
      <c r="P22" s="13">
        <f>COUNTIF(P2:P18,"OK")</f>
        <v>0</v>
      </c>
      <c r="Q22" s="13" t="s">
        <v>2</v>
      </c>
    </row>
    <row r="23" spans="1:18">
      <c r="P23" s="13">
        <f>COUNTBLANK(P2:P18)+(COUNTA(P2:P18)-(COUNTIF(P2:P18,"N/A")))</f>
        <v>17</v>
      </c>
      <c r="Q23" s="13" t="s">
        <v>197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796E2E-069A-4DFA-BAEE-A06CA30F04BA}">
          <x14:formula1>
            <xm:f>Listados!$A$2:$A$5</xm:f>
          </x14:formula1>
          <xm:sqref>P2:P18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600A6-5751-4FA1-BB6B-1FE72EBA9ECD}">
  <dimension ref="A1:R17"/>
  <sheetViews>
    <sheetView topLeftCell="A7" zoomScale="70" zoomScaleNormal="70" workbookViewId="0">
      <selection activeCell="A19" sqref="A19"/>
    </sheetView>
  </sheetViews>
  <sheetFormatPr defaultColWidth="29.5703125" defaultRowHeight="15"/>
  <cols>
    <col min="1" max="1" width="29.42578125" style="30" bestFit="1" customWidth="1"/>
    <col min="2" max="2" width="11.5703125" style="30" bestFit="1" customWidth="1"/>
    <col min="3" max="3" width="6.85546875" style="30" bestFit="1" customWidth="1"/>
    <col min="4" max="4" width="8.5703125" style="30" bestFit="1" customWidth="1"/>
    <col min="5" max="5" width="16.140625" style="30" bestFit="1" customWidth="1"/>
    <col min="6" max="6" width="29.5703125" style="30" bestFit="1"/>
    <col min="7" max="7" width="13.42578125" style="30" bestFit="1" customWidth="1"/>
    <col min="8" max="8" width="30.5703125" style="30" bestFit="1" customWidth="1"/>
    <col min="9" max="9" width="28.5703125" style="30" bestFit="1" customWidth="1"/>
    <col min="10" max="10" width="21.5703125" style="30" bestFit="1" customWidth="1"/>
    <col min="11" max="11" width="18.85546875" style="30" customWidth="1"/>
    <col min="12" max="12" width="38" style="30" customWidth="1"/>
    <col min="13" max="13" width="11.42578125" style="30" bestFit="1" customWidth="1"/>
    <col min="14" max="14" width="9.140625" style="30" bestFit="1" customWidth="1"/>
    <col min="15" max="15" width="14.28515625" style="30" bestFit="1" customWidth="1"/>
    <col min="16" max="16" width="29.5703125" style="30"/>
    <col min="17" max="17" width="68.7109375" style="137" customWidth="1"/>
    <col min="18" max="18" width="68.28515625" style="137" customWidth="1"/>
    <col min="19" max="16384" width="29.5703125" style="30"/>
  </cols>
  <sheetData>
    <row r="1" spans="1:18" s="24" customFormat="1" ht="30">
      <c r="A1" s="23" t="s">
        <v>198</v>
      </c>
      <c r="B1" s="23" t="s">
        <v>199</v>
      </c>
      <c r="C1" s="23" t="s">
        <v>200</v>
      </c>
      <c r="D1" s="23" t="s">
        <v>201</v>
      </c>
      <c r="E1" s="23" t="s">
        <v>202</v>
      </c>
      <c r="F1" s="23" t="s">
        <v>203</v>
      </c>
      <c r="G1" s="23" t="s">
        <v>204</v>
      </c>
      <c r="H1" s="23" t="s">
        <v>205</v>
      </c>
      <c r="I1" s="23" t="s">
        <v>206</v>
      </c>
      <c r="J1" s="23" t="s">
        <v>28</v>
      </c>
      <c r="K1" s="21" t="s">
        <v>29</v>
      </c>
      <c r="L1" s="22" t="s">
        <v>30</v>
      </c>
      <c r="M1" s="22" t="s">
        <v>31</v>
      </c>
      <c r="N1" s="22" t="s">
        <v>32</v>
      </c>
      <c r="O1" s="22" t="s">
        <v>33</v>
      </c>
      <c r="P1" s="22" t="s">
        <v>34</v>
      </c>
      <c r="Q1" s="2" t="s">
        <v>207</v>
      </c>
      <c r="R1" s="2" t="s">
        <v>208</v>
      </c>
    </row>
    <row r="2" spans="1:18" ht="75">
      <c r="A2" s="25" t="s">
        <v>209</v>
      </c>
      <c r="B2" s="26" t="s">
        <v>210</v>
      </c>
      <c r="C2" s="26" t="s">
        <v>211</v>
      </c>
      <c r="D2" s="26" t="s">
        <v>212</v>
      </c>
      <c r="E2" s="27" t="s">
        <v>213</v>
      </c>
      <c r="F2" s="28" t="s">
        <v>475</v>
      </c>
      <c r="G2" s="26" t="s">
        <v>215</v>
      </c>
      <c r="H2" s="29" t="s">
        <v>476</v>
      </c>
      <c r="I2" s="29" t="s">
        <v>217</v>
      </c>
      <c r="J2" s="29" t="s">
        <v>218</v>
      </c>
      <c r="K2" s="13" t="s">
        <v>45</v>
      </c>
      <c r="L2" s="26" t="s">
        <v>219</v>
      </c>
      <c r="M2" s="43">
        <v>45669</v>
      </c>
      <c r="N2" s="43">
        <v>45673</v>
      </c>
      <c r="O2" s="106"/>
      <c r="P2" s="51"/>
      <c r="Q2" s="132" t="s">
        <v>477</v>
      </c>
      <c r="R2" s="132" t="s">
        <v>478</v>
      </c>
    </row>
    <row r="3" spans="1:18" ht="60">
      <c r="A3" s="25" t="s">
        <v>209</v>
      </c>
      <c r="B3" s="26" t="s">
        <v>210</v>
      </c>
      <c r="C3" s="26" t="s">
        <v>211</v>
      </c>
      <c r="D3" s="26" t="s">
        <v>212</v>
      </c>
      <c r="E3" s="27" t="s">
        <v>222</v>
      </c>
      <c r="F3" s="28" t="s">
        <v>479</v>
      </c>
      <c r="G3" s="26" t="s">
        <v>215</v>
      </c>
      <c r="H3" s="29" t="s">
        <v>480</v>
      </c>
      <c r="I3" s="29" t="s">
        <v>217</v>
      </c>
      <c r="J3" s="29" t="s">
        <v>218</v>
      </c>
      <c r="K3" s="13" t="s">
        <v>45</v>
      </c>
      <c r="L3" s="26" t="s">
        <v>219</v>
      </c>
      <c r="M3" s="43">
        <v>45669</v>
      </c>
      <c r="N3" s="43">
        <v>45673</v>
      </c>
      <c r="O3" s="106"/>
      <c r="P3" s="51"/>
      <c r="Q3" s="133" t="s">
        <v>481</v>
      </c>
      <c r="R3" s="134" t="s">
        <v>482</v>
      </c>
    </row>
    <row r="4" spans="1:18" ht="75">
      <c r="A4" s="25" t="s">
        <v>209</v>
      </c>
      <c r="B4" s="26" t="s">
        <v>210</v>
      </c>
      <c r="C4" s="26" t="s">
        <v>211</v>
      </c>
      <c r="D4" s="26" t="s">
        <v>212</v>
      </c>
      <c r="E4" s="27" t="s">
        <v>227</v>
      </c>
      <c r="F4" s="28" t="s">
        <v>483</v>
      </c>
      <c r="G4" s="26" t="s">
        <v>215</v>
      </c>
      <c r="H4" s="191" t="s">
        <v>484</v>
      </c>
      <c r="I4" s="29" t="s">
        <v>217</v>
      </c>
      <c r="J4" s="29" t="s">
        <v>218</v>
      </c>
      <c r="K4" s="13" t="s">
        <v>45</v>
      </c>
      <c r="L4" s="26" t="s">
        <v>219</v>
      </c>
      <c r="M4" s="43">
        <v>45669</v>
      </c>
      <c r="N4" s="43">
        <v>45673</v>
      </c>
      <c r="O4" s="106"/>
      <c r="P4" s="51"/>
      <c r="Q4" s="132" t="s">
        <v>485</v>
      </c>
      <c r="R4" s="132" t="s">
        <v>486</v>
      </c>
    </row>
    <row r="5" spans="1:18" ht="345">
      <c r="A5" s="25" t="s">
        <v>209</v>
      </c>
      <c r="B5" s="26" t="s">
        <v>210</v>
      </c>
      <c r="C5" s="26" t="s">
        <v>211</v>
      </c>
      <c r="D5" s="26" t="s">
        <v>212</v>
      </c>
      <c r="E5" s="27" t="s">
        <v>232</v>
      </c>
      <c r="F5" s="28" t="s">
        <v>487</v>
      </c>
      <c r="G5" s="26" t="s">
        <v>215</v>
      </c>
      <c r="H5" s="29" t="s">
        <v>488</v>
      </c>
      <c r="I5" s="29" t="s">
        <v>217</v>
      </c>
      <c r="J5" s="29" t="s">
        <v>218</v>
      </c>
      <c r="K5" s="13" t="s">
        <v>45</v>
      </c>
      <c r="L5" s="26" t="s">
        <v>219</v>
      </c>
      <c r="M5" s="43">
        <v>45669</v>
      </c>
      <c r="N5" s="43">
        <v>45673</v>
      </c>
      <c r="O5" s="106"/>
      <c r="P5" s="51"/>
      <c r="Q5" s="135" t="s">
        <v>489</v>
      </c>
      <c r="R5" s="135" t="s">
        <v>490</v>
      </c>
    </row>
    <row r="6" spans="1:18" ht="345">
      <c r="A6" s="25" t="s">
        <v>209</v>
      </c>
      <c r="B6" s="26" t="s">
        <v>210</v>
      </c>
      <c r="C6" s="26" t="s">
        <v>211</v>
      </c>
      <c r="D6" s="26" t="s">
        <v>212</v>
      </c>
      <c r="E6" s="27" t="s">
        <v>237</v>
      </c>
      <c r="F6" s="28" t="s">
        <v>491</v>
      </c>
      <c r="G6" s="26" t="s">
        <v>215</v>
      </c>
      <c r="H6" s="29" t="s">
        <v>492</v>
      </c>
      <c r="I6" s="29" t="s">
        <v>217</v>
      </c>
      <c r="J6" s="29" t="s">
        <v>218</v>
      </c>
      <c r="K6" s="13" t="s">
        <v>45</v>
      </c>
      <c r="L6" s="26" t="s">
        <v>219</v>
      </c>
      <c r="M6" s="43">
        <v>45669</v>
      </c>
      <c r="N6" s="43">
        <v>45673</v>
      </c>
      <c r="O6" s="106"/>
      <c r="P6" s="51"/>
      <c r="Q6" s="135" t="s">
        <v>489</v>
      </c>
      <c r="R6" s="135" t="s">
        <v>490</v>
      </c>
    </row>
    <row r="7" spans="1:18" ht="345">
      <c r="A7" s="25" t="s">
        <v>209</v>
      </c>
      <c r="B7" s="26" t="s">
        <v>210</v>
      </c>
      <c r="C7" s="26" t="s">
        <v>211</v>
      </c>
      <c r="D7" s="26" t="s">
        <v>212</v>
      </c>
      <c r="E7" s="27" t="s">
        <v>242</v>
      </c>
      <c r="F7" s="28" t="s">
        <v>493</v>
      </c>
      <c r="G7" s="26" t="s">
        <v>215</v>
      </c>
      <c r="H7" s="29" t="s">
        <v>494</v>
      </c>
      <c r="I7" s="29" t="s">
        <v>217</v>
      </c>
      <c r="J7" s="29" t="s">
        <v>218</v>
      </c>
      <c r="K7" s="13" t="s">
        <v>45</v>
      </c>
      <c r="L7" s="26" t="s">
        <v>219</v>
      </c>
      <c r="M7" s="43">
        <v>45669</v>
      </c>
      <c r="N7" s="43">
        <v>45673</v>
      </c>
      <c r="O7" s="106"/>
      <c r="P7" s="51"/>
      <c r="Q7" s="135" t="s">
        <v>489</v>
      </c>
      <c r="R7" s="135" t="s">
        <v>490</v>
      </c>
    </row>
    <row r="8" spans="1:18" ht="60">
      <c r="A8" s="25" t="s">
        <v>209</v>
      </c>
      <c r="B8" s="26" t="s">
        <v>210</v>
      </c>
      <c r="C8" s="26" t="s">
        <v>211</v>
      </c>
      <c r="D8" s="26" t="s">
        <v>212</v>
      </c>
      <c r="E8" s="27" t="s">
        <v>247</v>
      </c>
      <c r="F8" s="28" t="s">
        <v>495</v>
      </c>
      <c r="G8" s="26" t="s">
        <v>215</v>
      </c>
      <c r="H8" s="29" t="s">
        <v>496</v>
      </c>
      <c r="I8" s="29" t="s">
        <v>217</v>
      </c>
      <c r="J8" s="29" t="s">
        <v>218</v>
      </c>
      <c r="K8" s="13" t="s">
        <v>45</v>
      </c>
      <c r="L8" s="26" t="s">
        <v>219</v>
      </c>
      <c r="M8" s="43">
        <v>45669</v>
      </c>
      <c r="N8" s="43">
        <v>45673</v>
      </c>
      <c r="O8" s="106"/>
      <c r="P8" s="51"/>
      <c r="Q8" s="133" t="s">
        <v>497</v>
      </c>
      <c r="R8" s="134" t="s">
        <v>498</v>
      </c>
    </row>
    <row r="9" spans="1:18" ht="75">
      <c r="A9" s="25" t="s">
        <v>209</v>
      </c>
      <c r="B9" s="26" t="s">
        <v>210</v>
      </c>
      <c r="C9" s="26" t="s">
        <v>211</v>
      </c>
      <c r="D9" s="26" t="s">
        <v>212</v>
      </c>
      <c r="E9" s="27" t="s">
        <v>251</v>
      </c>
      <c r="F9" s="28" t="s">
        <v>499</v>
      </c>
      <c r="G9" s="26" t="s">
        <v>215</v>
      </c>
      <c r="H9" s="29" t="s">
        <v>500</v>
      </c>
      <c r="I9" s="29" t="s">
        <v>217</v>
      </c>
      <c r="J9" s="29" t="s">
        <v>218</v>
      </c>
      <c r="K9" s="13" t="s">
        <v>45</v>
      </c>
      <c r="L9" s="26" t="s">
        <v>219</v>
      </c>
      <c r="M9" s="43">
        <v>45669</v>
      </c>
      <c r="N9" s="43">
        <v>45673</v>
      </c>
      <c r="O9" s="106"/>
      <c r="P9" s="51"/>
      <c r="Q9" s="132" t="s">
        <v>501</v>
      </c>
      <c r="R9" s="132" t="s">
        <v>502</v>
      </c>
    </row>
    <row r="10" spans="1:18" ht="75">
      <c r="A10" s="25" t="s">
        <v>209</v>
      </c>
      <c r="B10" s="26" t="s">
        <v>210</v>
      </c>
      <c r="C10" s="26" t="s">
        <v>211</v>
      </c>
      <c r="D10" s="26" t="s">
        <v>212</v>
      </c>
      <c r="E10" s="27" t="s">
        <v>255</v>
      </c>
      <c r="F10" s="28" t="s">
        <v>503</v>
      </c>
      <c r="G10" s="26" t="s">
        <v>215</v>
      </c>
      <c r="H10" s="29" t="s">
        <v>504</v>
      </c>
      <c r="I10" s="29" t="s">
        <v>217</v>
      </c>
      <c r="J10" s="29" t="s">
        <v>218</v>
      </c>
      <c r="K10" s="13" t="s">
        <v>45</v>
      </c>
      <c r="L10" s="26" t="s">
        <v>219</v>
      </c>
      <c r="M10" s="43">
        <v>45669</v>
      </c>
      <c r="N10" s="43">
        <v>45673</v>
      </c>
      <c r="O10" s="106"/>
      <c r="P10" s="51"/>
      <c r="Q10" s="132" t="s">
        <v>505</v>
      </c>
      <c r="R10" s="132" t="s">
        <v>506</v>
      </c>
    </row>
    <row r="11" spans="1:18" ht="135">
      <c r="A11" s="25" t="s">
        <v>209</v>
      </c>
      <c r="B11" s="26" t="s">
        <v>210</v>
      </c>
      <c r="C11" s="26" t="s">
        <v>211</v>
      </c>
      <c r="D11" s="26" t="s">
        <v>212</v>
      </c>
      <c r="E11" s="27" t="s">
        <v>259</v>
      </c>
      <c r="F11" s="28" t="s">
        <v>507</v>
      </c>
      <c r="G11" s="26" t="s">
        <v>215</v>
      </c>
      <c r="H11" s="29" t="s">
        <v>508</v>
      </c>
      <c r="I11" s="29" t="s">
        <v>217</v>
      </c>
      <c r="J11" s="29" t="s">
        <v>218</v>
      </c>
      <c r="K11" s="13" t="s">
        <v>45</v>
      </c>
      <c r="L11" s="26" t="s">
        <v>219</v>
      </c>
      <c r="M11" s="43">
        <v>45669</v>
      </c>
      <c r="N11" s="43">
        <v>45673</v>
      </c>
      <c r="O11" s="106"/>
      <c r="P11" s="51"/>
      <c r="Q11" s="135" t="s">
        <v>509</v>
      </c>
      <c r="R11" s="135" t="s">
        <v>510</v>
      </c>
    </row>
    <row r="12" spans="1:18" ht="135">
      <c r="A12" s="25" t="s">
        <v>209</v>
      </c>
      <c r="B12" s="26" t="s">
        <v>210</v>
      </c>
      <c r="C12" s="26" t="s">
        <v>211</v>
      </c>
      <c r="D12" s="26" t="s">
        <v>212</v>
      </c>
      <c r="E12" s="27" t="s">
        <v>264</v>
      </c>
      <c r="F12" s="28" t="s">
        <v>511</v>
      </c>
      <c r="G12" s="26" t="s">
        <v>215</v>
      </c>
      <c r="H12" s="29" t="s">
        <v>512</v>
      </c>
      <c r="I12" s="29" t="s">
        <v>217</v>
      </c>
      <c r="J12" s="29" t="s">
        <v>218</v>
      </c>
      <c r="K12" s="13" t="s">
        <v>45</v>
      </c>
      <c r="L12" s="26" t="s">
        <v>219</v>
      </c>
      <c r="M12" s="43">
        <v>45669</v>
      </c>
      <c r="N12" s="43">
        <v>45673</v>
      </c>
      <c r="O12" s="106"/>
      <c r="P12" s="51"/>
      <c r="Q12" s="135" t="s">
        <v>509</v>
      </c>
      <c r="R12" s="135" t="s">
        <v>510</v>
      </c>
    </row>
    <row r="13" spans="1:18">
      <c r="P13" s="113">
        <f>(COUNTIF(P2:P12,"OK")/(COUNTBLANK(P2:P12)+(COUNTA(P2:P12)-(COUNTIF(P2:P12,"N/A")))))</f>
        <v>0</v>
      </c>
      <c r="Q13" s="136" t="s">
        <v>195</v>
      </c>
    </row>
    <row r="14" spans="1:18">
      <c r="P14" s="13">
        <f>COUNTBLANK(P2:P12)+(COUNTA(P2:P12)-(COUNTIF(P2:P12,"N/A"))-(COUNTIF(P2:P12,"OK"))-(COUNTIF(P2:P12,"KO")))</f>
        <v>11</v>
      </c>
      <c r="Q14" s="127" t="s">
        <v>196</v>
      </c>
    </row>
    <row r="15" spans="1:18">
      <c r="P15" s="13">
        <f>COUNTIF(P2:P12,"KO")</f>
        <v>0</v>
      </c>
      <c r="Q15" s="127" t="s">
        <v>3</v>
      </c>
    </row>
    <row r="16" spans="1:18">
      <c r="P16" s="13">
        <f>COUNTIF(P2:P12,"OK")</f>
        <v>0</v>
      </c>
      <c r="Q16" s="127" t="s">
        <v>2</v>
      </c>
    </row>
    <row r="17" spans="16:17">
      <c r="P17" s="13">
        <f>COUNTBLANK(P2:P12)+(COUNTA(P2:P12)-(COUNTIF(P2:P12,"N/A")))</f>
        <v>11</v>
      </c>
      <c r="Q17" s="127" t="s">
        <v>197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14E733-37FA-4BFC-BE5F-8A0562B35207}">
          <x14:formula1>
            <xm:f>Listados!$A$2:$A$5</xm:f>
          </x14:formula1>
          <xm:sqref>P2:P12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13AC-C2C4-4000-99CE-8E0D53AEAFC0}">
  <dimension ref="A1:R8"/>
  <sheetViews>
    <sheetView topLeftCell="J1" workbookViewId="0">
      <selection activeCell="R9" sqref="R9"/>
    </sheetView>
  </sheetViews>
  <sheetFormatPr defaultColWidth="11.42578125" defaultRowHeight="15"/>
  <cols>
    <col min="1" max="1" width="12.85546875" bestFit="1" customWidth="1"/>
    <col min="3" max="3" width="11.140625" bestFit="1" customWidth="1"/>
    <col min="4" max="4" width="13.140625" bestFit="1" customWidth="1"/>
    <col min="5" max="5" width="20.140625" style="20" bestFit="1" customWidth="1"/>
    <col min="6" max="6" width="39.5703125" style="20" customWidth="1"/>
    <col min="7" max="7" width="17.5703125" bestFit="1" customWidth="1"/>
    <col min="8" max="8" width="29.42578125" bestFit="1" customWidth="1"/>
    <col min="9" max="9" width="36.85546875" bestFit="1" customWidth="1"/>
    <col min="10" max="10" width="22.140625" bestFit="1" customWidth="1"/>
    <col min="11" max="11" width="26" bestFit="1" customWidth="1"/>
    <col min="12" max="12" width="11.5703125" bestFit="1" customWidth="1"/>
    <col min="13" max="13" width="10.85546875" bestFit="1" customWidth="1"/>
    <col min="14" max="14" width="14.85546875" bestFit="1" customWidth="1"/>
    <col min="15" max="15" width="14.85546875" customWidth="1"/>
    <col min="16" max="16" width="16.42578125" bestFit="1" customWidth="1"/>
    <col min="17" max="17" width="41.140625" customWidth="1"/>
    <col min="18" max="18" width="28" customWidth="1"/>
  </cols>
  <sheetData>
    <row r="1" spans="1:18" s="15" customFormat="1">
      <c r="A1" s="14" t="s">
        <v>198</v>
      </c>
      <c r="B1" s="14" t="s">
        <v>199</v>
      </c>
      <c r="C1" s="14" t="s">
        <v>200</v>
      </c>
      <c r="D1" s="14" t="s">
        <v>201</v>
      </c>
      <c r="E1" s="14" t="s">
        <v>202</v>
      </c>
      <c r="F1" s="14" t="s">
        <v>203</v>
      </c>
      <c r="G1" s="14" t="s">
        <v>204</v>
      </c>
      <c r="H1" s="14" t="s">
        <v>205</v>
      </c>
      <c r="I1" s="14" t="s">
        <v>206</v>
      </c>
      <c r="J1" s="14" t="s">
        <v>28</v>
      </c>
      <c r="K1" s="21" t="s">
        <v>29</v>
      </c>
      <c r="L1" s="22" t="s">
        <v>30</v>
      </c>
      <c r="M1" s="22" t="s">
        <v>31</v>
      </c>
      <c r="N1" s="22" t="s">
        <v>32</v>
      </c>
      <c r="O1" s="22" t="s">
        <v>33</v>
      </c>
      <c r="P1" s="22" t="s">
        <v>34</v>
      </c>
      <c r="Q1" s="2" t="s">
        <v>207</v>
      </c>
      <c r="R1" s="2" t="s">
        <v>208</v>
      </c>
    </row>
    <row r="2" spans="1:18" ht="75">
      <c r="A2" s="16" t="s">
        <v>209</v>
      </c>
      <c r="B2" s="17" t="s">
        <v>210</v>
      </c>
      <c r="C2" s="17" t="s">
        <v>211</v>
      </c>
      <c r="D2" s="17" t="s">
        <v>212</v>
      </c>
      <c r="E2" s="18" t="s">
        <v>513</v>
      </c>
      <c r="F2" s="18" t="s">
        <v>514</v>
      </c>
      <c r="G2" s="17" t="s">
        <v>391</v>
      </c>
      <c r="H2" s="19" t="s">
        <v>515</v>
      </c>
      <c r="I2" s="19" t="s">
        <v>393</v>
      </c>
      <c r="J2" s="19" t="s">
        <v>394</v>
      </c>
      <c r="K2" s="13" t="s">
        <v>45</v>
      </c>
      <c r="L2" s="8" t="s">
        <v>416</v>
      </c>
      <c r="M2" s="44">
        <v>45662</v>
      </c>
      <c r="N2" s="53">
        <v>45666</v>
      </c>
      <c r="O2" s="53"/>
      <c r="P2" s="53"/>
      <c r="Q2" s="139" t="s">
        <v>516</v>
      </c>
      <c r="R2" s="139" t="s">
        <v>517</v>
      </c>
    </row>
    <row r="3" spans="1:18" ht="75">
      <c r="A3" s="16" t="s">
        <v>209</v>
      </c>
      <c r="B3" s="17" t="s">
        <v>210</v>
      </c>
      <c r="C3" s="17" t="s">
        <v>211</v>
      </c>
      <c r="D3" s="17" t="s">
        <v>212</v>
      </c>
      <c r="E3" s="18" t="s">
        <v>518</v>
      </c>
      <c r="F3" s="18" t="s">
        <v>519</v>
      </c>
      <c r="G3" s="17" t="s">
        <v>391</v>
      </c>
      <c r="H3" s="19" t="s">
        <v>520</v>
      </c>
      <c r="I3" s="19" t="s">
        <v>393</v>
      </c>
      <c r="J3" s="19" t="s">
        <v>394</v>
      </c>
      <c r="K3" s="13" t="s">
        <v>45</v>
      </c>
      <c r="L3" s="8" t="s">
        <v>416</v>
      </c>
      <c r="M3" s="44">
        <v>45662</v>
      </c>
      <c r="N3" s="53">
        <v>45666</v>
      </c>
      <c r="O3" s="53"/>
      <c r="P3" s="53"/>
      <c r="Q3" s="139" t="s">
        <v>521</v>
      </c>
      <c r="R3" s="139" t="s">
        <v>522</v>
      </c>
    </row>
    <row r="4" spans="1:18">
      <c r="P4" s="113">
        <f>(COUNTIF(P2:P3,"OK")/(COUNTBLANK(P2:P3)+(COUNTA(P2:P3)-(COUNTIF(P2:P3,"N/A")))))</f>
        <v>0</v>
      </c>
      <c r="Q4" s="138" t="s">
        <v>195</v>
      </c>
    </row>
    <row r="5" spans="1:18">
      <c r="P5" s="13">
        <f>COUNTBLANK(P2:P3)+(COUNTA(P2:P3)-(COUNTIF(P2:P3,"N/A"))-(COUNTIF(P2:P3,"OK"))-(COUNTIF(P2:P3,"KO")))</f>
        <v>2</v>
      </c>
      <c r="Q5" s="13" t="s">
        <v>196</v>
      </c>
    </row>
    <row r="6" spans="1:18">
      <c r="P6" s="13">
        <f>COUNTIF(P2:P3,"KO")</f>
        <v>0</v>
      </c>
      <c r="Q6" s="13" t="s">
        <v>3</v>
      </c>
    </row>
    <row r="7" spans="1:18">
      <c r="P7" s="13">
        <f>COUNTIF(P2:P3,"OK")</f>
        <v>0</v>
      </c>
      <c r="Q7" s="13" t="s">
        <v>2</v>
      </c>
    </row>
    <row r="8" spans="1:18">
      <c r="P8" s="13">
        <f>COUNTBLANK(P2:P3)+(COUNTA(P2:P3)-(COUNTIF(P2:P3,"N/A")))</f>
        <v>2</v>
      </c>
      <c r="Q8" s="13" t="s">
        <v>197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3919495-2374-4C1D-9AD7-54981EB00A0F}">
          <x14:formula1>
            <xm:f>Listados!$A$2:$A$5</xm:f>
          </x14:formula1>
          <xm:sqref>P2:P3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C6FB-8786-490C-9156-426678941C59}">
  <dimension ref="A1:T108"/>
  <sheetViews>
    <sheetView topLeftCell="M100" zoomScale="80" zoomScaleNormal="80" workbookViewId="0">
      <selection activeCell="S113" sqref="S113"/>
    </sheetView>
  </sheetViews>
  <sheetFormatPr defaultColWidth="11.42578125" defaultRowHeight="15"/>
  <cols>
    <col min="1" max="1" width="37.5703125" customWidth="1"/>
    <col min="5" max="5" width="17.85546875" bestFit="1" customWidth="1"/>
    <col min="6" max="6" width="73.140625" customWidth="1"/>
    <col min="7" max="7" width="16.42578125" customWidth="1"/>
    <col min="8" max="8" width="30.5703125" customWidth="1"/>
    <col min="9" max="9" width="58.85546875" customWidth="1"/>
    <col min="10" max="10" width="145.85546875" customWidth="1"/>
    <col min="11" max="11" width="50.42578125" customWidth="1"/>
    <col min="12" max="12" width="25.140625" customWidth="1"/>
    <col min="13" max="13" width="16.85546875" customWidth="1"/>
    <col min="14" max="14" width="33.42578125" style="46" bestFit="1" customWidth="1"/>
    <col min="18" max="18" width="16.7109375" customWidth="1"/>
    <col min="19" max="19" width="51.42578125" customWidth="1"/>
    <col min="20" max="20" width="55.85546875" customWidth="1"/>
  </cols>
  <sheetData>
    <row r="1" spans="1:20">
      <c r="A1" s="71" t="s">
        <v>198</v>
      </c>
      <c r="B1" s="72" t="s">
        <v>199</v>
      </c>
      <c r="C1" s="72" t="s">
        <v>200</v>
      </c>
      <c r="D1" s="72" t="s">
        <v>201</v>
      </c>
      <c r="E1" s="72" t="s">
        <v>202</v>
      </c>
      <c r="F1" s="70" t="s">
        <v>203</v>
      </c>
      <c r="G1" s="72" t="s">
        <v>204</v>
      </c>
      <c r="H1" s="72" t="s">
        <v>523</v>
      </c>
      <c r="I1" s="70" t="s">
        <v>205</v>
      </c>
      <c r="J1" s="70" t="s">
        <v>206</v>
      </c>
      <c r="K1" s="70" t="s">
        <v>28</v>
      </c>
      <c r="L1" s="70" t="s">
        <v>524</v>
      </c>
      <c r="M1" s="73" t="s">
        <v>525</v>
      </c>
      <c r="N1" s="73" t="s">
        <v>30</v>
      </c>
      <c r="O1" s="72" t="s">
        <v>31</v>
      </c>
      <c r="P1" s="72" t="s">
        <v>32</v>
      </c>
      <c r="Q1" s="73" t="s">
        <v>33</v>
      </c>
      <c r="R1" s="73" t="s">
        <v>34</v>
      </c>
      <c r="S1" s="72" t="s">
        <v>207</v>
      </c>
      <c r="T1" s="72" t="s">
        <v>208</v>
      </c>
    </row>
    <row r="2" spans="1:20" ht="117" customHeight="1">
      <c r="A2" s="67" t="s">
        <v>526</v>
      </c>
      <c r="B2" s="74" t="s">
        <v>210</v>
      </c>
      <c r="C2" s="74" t="s">
        <v>211</v>
      </c>
      <c r="D2" s="74" t="s">
        <v>212</v>
      </c>
      <c r="E2" s="75" t="s">
        <v>213</v>
      </c>
      <c r="F2" s="74" t="s">
        <v>527</v>
      </c>
      <c r="G2" s="74" t="s">
        <v>36</v>
      </c>
      <c r="H2" s="76" t="s">
        <v>528</v>
      </c>
      <c r="I2" s="74" t="s">
        <v>529</v>
      </c>
      <c r="J2" s="74" t="s">
        <v>530</v>
      </c>
      <c r="K2" s="74" t="s">
        <v>531</v>
      </c>
      <c r="L2" s="13" t="s">
        <v>45</v>
      </c>
      <c r="M2" s="76" t="s">
        <v>532</v>
      </c>
      <c r="N2" s="76" t="s">
        <v>533</v>
      </c>
      <c r="O2" s="77">
        <v>45683</v>
      </c>
      <c r="P2" s="101">
        <v>45694</v>
      </c>
      <c r="Q2" s="105"/>
      <c r="R2" s="81"/>
      <c r="S2" s="28" t="s">
        <v>534</v>
      </c>
      <c r="T2" s="140" t="s">
        <v>535</v>
      </c>
    </row>
    <row r="3" spans="1:20" ht="99.95" customHeight="1">
      <c r="A3" s="78" t="s">
        <v>526</v>
      </c>
      <c r="B3" s="79" t="s">
        <v>210</v>
      </c>
      <c r="C3" s="79" t="s">
        <v>211</v>
      </c>
      <c r="D3" s="79" t="s">
        <v>212</v>
      </c>
      <c r="E3" s="80" t="s">
        <v>222</v>
      </c>
      <c r="F3" s="79" t="s">
        <v>536</v>
      </c>
      <c r="G3" s="79" t="s">
        <v>36</v>
      </c>
      <c r="H3" s="81" t="s">
        <v>528</v>
      </c>
      <c r="I3" s="79" t="s">
        <v>537</v>
      </c>
      <c r="J3" s="79" t="s">
        <v>530</v>
      </c>
      <c r="K3" s="79" t="s">
        <v>531</v>
      </c>
      <c r="L3" s="13" t="s">
        <v>45</v>
      </c>
      <c r="M3" s="81" t="s">
        <v>532</v>
      </c>
      <c r="N3" s="81" t="s">
        <v>533</v>
      </c>
      <c r="O3" s="82">
        <v>45683</v>
      </c>
      <c r="P3" s="102">
        <v>45694</v>
      </c>
      <c r="Q3" s="105"/>
      <c r="R3" s="81"/>
      <c r="S3" s="141" t="s">
        <v>538</v>
      </c>
      <c r="T3" s="142" t="s">
        <v>539</v>
      </c>
    </row>
    <row r="4" spans="1:20" ht="99.95" customHeight="1">
      <c r="A4" s="78" t="s">
        <v>526</v>
      </c>
      <c r="B4" s="79" t="s">
        <v>210</v>
      </c>
      <c r="C4" s="79" t="s">
        <v>211</v>
      </c>
      <c r="D4" s="79" t="s">
        <v>212</v>
      </c>
      <c r="E4" s="80" t="s">
        <v>227</v>
      </c>
      <c r="F4" s="79" t="s">
        <v>527</v>
      </c>
      <c r="G4" s="79" t="s">
        <v>36</v>
      </c>
      <c r="H4" s="81" t="s">
        <v>528</v>
      </c>
      <c r="I4" s="79" t="s">
        <v>540</v>
      </c>
      <c r="J4" s="79" t="s">
        <v>530</v>
      </c>
      <c r="K4" s="79" t="s">
        <v>531</v>
      </c>
      <c r="L4" s="13" t="s">
        <v>45</v>
      </c>
      <c r="M4" s="81" t="s">
        <v>532</v>
      </c>
      <c r="N4" s="81" t="s">
        <v>533</v>
      </c>
      <c r="O4" s="82">
        <v>45683</v>
      </c>
      <c r="P4" s="102">
        <v>45694</v>
      </c>
      <c r="Q4" s="105"/>
      <c r="R4" s="81"/>
      <c r="S4" s="143" t="s">
        <v>541</v>
      </c>
      <c r="T4" s="144" t="s">
        <v>541</v>
      </c>
    </row>
    <row r="5" spans="1:20" ht="99.95" customHeight="1">
      <c r="A5" s="78" t="s">
        <v>526</v>
      </c>
      <c r="B5" s="79" t="s">
        <v>210</v>
      </c>
      <c r="C5" s="79" t="s">
        <v>211</v>
      </c>
      <c r="D5" s="79" t="s">
        <v>212</v>
      </c>
      <c r="E5" s="80" t="s">
        <v>232</v>
      </c>
      <c r="F5" s="79" t="s">
        <v>542</v>
      </c>
      <c r="G5" s="79" t="s">
        <v>36</v>
      </c>
      <c r="H5" s="81" t="s">
        <v>528</v>
      </c>
      <c r="I5" s="79" t="s">
        <v>543</v>
      </c>
      <c r="J5" s="79" t="s">
        <v>530</v>
      </c>
      <c r="K5" s="79" t="s">
        <v>531</v>
      </c>
      <c r="L5" s="13" t="s">
        <v>45</v>
      </c>
      <c r="M5" s="81" t="s">
        <v>532</v>
      </c>
      <c r="N5" s="81" t="s">
        <v>533</v>
      </c>
      <c r="O5" s="82">
        <v>45683</v>
      </c>
      <c r="P5" s="102">
        <v>45694</v>
      </c>
      <c r="Q5" s="105"/>
      <c r="R5" s="81"/>
      <c r="S5" s="141" t="s">
        <v>544</v>
      </c>
      <c r="T5" s="142" t="s">
        <v>545</v>
      </c>
    </row>
    <row r="6" spans="1:20" ht="99.95" customHeight="1">
      <c r="A6" s="78" t="s">
        <v>526</v>
      </c>
      <c r="B6" s="79" t="s">
        <v>210</v>
      </c>
      <c r="C6" s="79" t="s">
        <v>211</v>
      </c>
      <c r="D6" s="79" t="s">
        <v>212</v>
      </c>
      <c r="E6" s="80" t="s">
        <v>237</v>
      </c>
      <c r="F6" s="79" t="s">
        <v>546</v>
      </c>
      <c r="G6" s="79" t="s">
        <v>36</v>
      </c>
      <c r="H6" s="81" t="s">
        <v>528</v>
      </c>
      <c r="I6" s="79" t="s">
        <v>547</v>
      </c>
      <c r="J6" s="79" t="s">
        <v>530</v>
      </c>
      <c r="K6" s="79" t="s">
        <v>531</v>
      </c>
      <c r="L6" s="13" t="s">
        <v>45</v>
      </c>
      <c r="M6" s="81" t="s">
        <v>532</v>
      </c>
      <c r="N6" s="81" t="s">
        <v>533</v>
      </c>
      <c r="O6" s="82">
        <v>45683</v>
      </c>
      <c r="P6" s="102">
        <v>45694</v>
      </c>
      <c r="Q6" s="105"/>
      <c r="R6" s="81"/>
      <c r="S6" s="141" t="s">
        <v>548</v>
      </c>
      <c r="T6" s="142" t="s">
        <v>549</v>
      </c>
    </row>
    <row r="7" spans="1:20" ht="99.95" customHeight="1">
      <c r="A7" s="78" t="s">
        <v>526</v>
      </c>
      <c r="B7" s="79" t="s">
        <v>210</v>
      </c>
      <c r="C7" s="79" t="s">
        <v>211</v>
      </c>
      <c r="D7" s="79" t="s">
        <v>212</v>
      </c>
      <c r="E7" s="80" t="s">
        <v>242</v>
      </c>
      <c r="F7" s="79" t="s">
        <v>550</v>
      </c>
      <c r="G7" s="79" t="s">
        <v>36</v>
      </c>
      <c r="H7" s="81" t="s">
        <v>528</v>
      </c>
      <c r="I7" s="79" t="s">
        <v>551</v>
      </c>
      <c r="J7" s="79" t="s">
        <v>530</v>
      </c>
      <c r="K7" s="79" t="s">
        <v>531</v>
      </c>
      <c r="L7" s="13" t="s">
        <v>45</v>
      </c>
      <c r="M7" s="81" t="s">
        <v>532</v>
      </c>
      <c r="N7" s="81" t="s">
        <v>533</v>
      </c>
      <c r="O7" s="82">
        <v>45683</v>
      </c>
      <c r="P7" s="102">
        <v>45694</v>
      </c>
      <c r="Q7" s="105"/>
      <c r="R7" s="81"/>
      <c r="S7" s="141" t="s">
        <v>552</v>
      </c>
      <c r="T7" s="142" t="s">
        <v>553</v>
      </c>
    </row>
    <row r="8" spans="1:20" ht="99.95" customHeight="1">
      <c r="A8" s="78" t="s">
        <v>526</v>
      </c>
      <c r="B8" s="79" t="s">
        <v>210</v>
      </c>
      <c r="C8" s="79" t="s">
        <v>211</v>
      </c>
      <c r="D8" s="79" t="s">
        <v>212</v>
      </c>
      <c r="E8" s="80" t="s">
        <v>247</v>
      </c>
      <c r="F8" s="79" t="s">
        <v>554</v>
      </c>
      <c r="G8" s="79" t="s">
        <v>36</v>
      </c>
      <c r="H8" s="81" t="s">
        <v>528</v>
      </c>
      <c r="I8" s="79" t="s">
        <v>555</v>
      </c>
      <c r="J8" s="79" t="s">
        <v>530</v>
      </c>
      <c r="K8" s="79" t="s">
        <v>531</v>
      </c>
      <c r="L8" s="13" t="s">
        <v>45</v>
      </c>
      <c r="M8" s="81" t="s">
        <v>532</v>
      </c>
      <c r="N8" s="81" t="s">
        <v>533</v>
      </c>
      <c r="O8" s="82">
        <v>45683</v>
      </c>
      <c r="P8" s="102">
        <v>45694</v>
      </c>
      <c r="Q8" s="105"/>
      <c r="R8" s="81"/>
      <c r="S8" s="141" t="s">
        <v>556</v>
      </c>
      <c r="T8" s="142" t="s">
        <v>557</v>
      </c>
    </row>
    <row r="9" spans="1:20" ht="99.95" customHeight="1">
      <c r="A9" s="78" t="s">
        <v>526</v>
      </c>
      <c r="B9" s="79" t="s">
        <v>210</v>
      </c>
      <c r="C9" s="79" t="s">
        <v>211</v>
      </c>
      <c r="D9" s="79" t="s">
        <v>212</v>
      </c>
      <c r="E9" s="80" t="s">
        <v>251</v>
      </c>
      <c r="F9" s="79" t="s">
        <v>558</v>
      </c>
      <c r="G9" s="79" t="s">
        <v>36</v>
      </c>
      <c r="H9" s="81" t="s">
        <v>528</v>
      </c>
      <c r="I9" s="79" t="s">
        <v>559</v>
      </c>
      <c r="J9" s="79" t="s">
        <v>530</v>
      </c>
      <c r="K9" s="79" t="s">
        <v>531</v>
      </c>
      <c r="L9" s="13" t="s">
        <v>45</v>
      </c>
      <c r="M9" s="81" t="s">
        <v>532</v>
      </c>
      <c r="N9" s="81" t="s">
        <v>533</v>
      </c>
      <c r="O9" s="82">
        <v>45683</v>
      </c>
      <c r="P9" s="102">
        <v>45694</v>
      </c>
      <c r="Q9" s="105"/>
      <c r="R9" s="81"/>
      <c r="S9" s="141" t="s">
        <v>560</v>
      </c>
      <c r="T9" s="142" t="s">
        <v>561</v>
      </c>
    </row>
    <row r="10" spans="1:20" ht="99.95" customHeight="1">
      <c r="A10" s="78" t="s">
        <v>526</v>
      </c>
      <c r="B10" s="79" t="s">
        <v>210</v>
      </c>
      <c r="C10" s="79" t="s">
        <v>211</v>
      </c>
      <c r="D10" s="79" t="s">
        <v>212</v>
      </c>
      <c r="E10" s="80" t="s">
        <v>255</v>
      </c>
      <c r="F10" s="79" t="s">
        <v>562</v>
      </c>
      <c r="G10" s="79" t="s">
        <v>36</v>
      </c>
      <c r="H10" s="81" t="s">
        <v>528</v>
      </c>
      <c r="I10" s="79" t="s">
        <v>563</v>
      </c>
      <c r="J10" s="79" t="s">
        <v>530</v>
      </c>
      <c r="K10" s="79" t="s">
        <v>531</v>
      </c>
      <c r="L10" s="13" t="s">
        <v>45</v>
      </c>
      <c r="M10" s="81" t="s">
        <v>532</v>
      </c>
      <c r="N10" s="81" t="s">
        <v>533</v>
      </c>
      <c r="O10" s="82">
        <v>45683</v>
      </c>
      <c r="P10" s="102">
        <v>45694</v>
      </c>
      <c r="Q10" s="105"/>
      <c r="R10" s="81"/>
      <c r="S10" s="141" t="s">
        <v>564</v>
      </c>
      <c r="T10" s="142" t="s">
        <v>565</v>
      </c>
    </row>
    <row r="11" spans="1:20" ht="99.95" customHeight="1">
      <c r="A11" s="78" t="s">
        <v>526</v>
      </c>
      <c r="B11" s="79" t="s">
        <v>210</v>
      </c>
      <c r="C11" s="79" t="s">
        <v>211</v>
      </c>
      <c r="D11" s="79" t="s">
        <v>212</v>
      </c>
      <c r="E11" s="80" t="s">
        <v>259</v>
      </c>
      <c r="F11" s="79" t="s">
        <v>566</v>
      </c>
      <c r="G11" s="79" t="s">
        <v>36</v>
      </c>
      <c r="H11" s="81" t="s">
        <v>528</v>
      </c>
      <c r="I11" s="79" t="s">
        <v>563</v>
      </c>
      <c r="J11" s="79" t="s">
        <v>530</v>
      </c>
      <c r="K11" s="79" t="s">
        <v>531</v>
      </c>
      <c r="L11" s="13" t="s">
        <v>45</v>
      </c>
      <c r="M11" s="81" t="s">
        <v>532</v>
      </c>
      <c r="N11" s="81" t="s">
        <v>533</v>
      </c>
      <c r="O11" s="82">
        <v>45683</v>
      </c>
      <c r="P11" s="102">
        <v>45694</v>
      </c>
      <c r="Q11" s="105"/>
      <c r="R11" s="81"/>
      <c r="S11" s="141" t="s">
        <v>567</v>
      </c>
      <c r="T11" s="142" t="s">
        <v>568</v>
      </c>
    </row>
    <row r="12" spans="1:20" ht="99.95" customHeight="1">
      <c r="A12" s="78" t="s">
        <v>526</v>
      </c>
      <c r="B12" s="79" t="s">
        <v>210</v>
      </c>
      <c r="C12" s="79" t="s">
        <v>211</v>
      </c>
      <c r="D12" s="79" t="s">
        <v>212</v>
      </c>
      <c r="E12" s="80" t="s">
        <v>264</v>
      </c>
      <c r="F12" s="79" t="s">
        <v>569</v>
      </c>
      <c r="G12" s="79" t="s">
        <v>36</v>
      </c>
      <c r="H12" s="81" t="s">
        <v>528</v>
      </c>
      <c r="I12" s="79" t="s">
        <v>563</v>
      </c>
      <c r="J12" s="79" t="s">
        <v>530</v>
      </c>
      <c r="K12" s="79" t="s">
        <v>531</v>
      </c>
      <c r="L12" s="13" t="s">
        <v>45</v>
      </c>
      <c r="M12" s="81" t="s">
        <v>532</v>
      </c>
      <c r="N12" s="81" t="s">
        <v>533</v>
      </c>
      <c r="O12" s="82">
        <v>45683</v>
      </c>
      <c r="P12" s="102">
        <v>45694</v>
      </c>
      <c r="Q12" s="105"/>
      <c r="R12" s="81"/>
      <c r="S12" s="141" t="s">
        <v>570</v>
      </c>
      <c r="T12" s="142" t="s">
        <v>571</v>
      </c>
    </row>
    <row r="13" spans="1:20" ht="99.95" customHeight="1">
      <c r="A13" s="78" t="s">
        <v>526</v>
      </c>
      <c r="B13" s="79" t="s">
        <v>210</v>
      </c>
      <c r="C13" s="79" t="s">
        <v>211</v>
      </c>
      <c r="D13" s="79" t="s">
        <v>212</v>
      </c>
      <c r="E13" s="80" t="s">
        <v>268</v>
      </c>
      <c r="F13" s="79" t="s">
        <v>572</v>
      </c>
      <c r="G13" s="79" t="s">
        <v>36</v>
      </c>
      <c r="H13" s="81" t="s">
        <v>528</v>
      </c>
      <c r="I13" s="79" t="s">
        <v>573</v>
      </c>
      <c r="J13" s="79" t="s">
        <v>530</v>
      </c>
      <c r="K13" s="79" t="s">
        <v>531</v>
      </c>
      <c r="L13" s="13" t="s">
        <v>45</v>
      </c>
      <c r="M13" s="81" t="s">
        <v>532</v>
      </c>
      <c r="N13" s="81" t="s">
        <v>533</v>
      </c>
      <c r="O13" s="82">
        <v>45683</v>
      </c>
      <c r="P13" s="102">
        <v>45694</v>
      </c>
      <c r="Q13" s="105"/>
      <c r="R13" s="81"/>
      <c r="S13" s="141" t="s">
        <v>574</v>
      </c>
      <c r="T13" s="142" t="s">
        <v>575</v>
      </c>
    </row>
    <row r="14" spans="1:20" ht="99.95" customHeight="1">
      <c r="A14" s="78" t="s">
        <v>526</v>
      </c>
      <c r="B14" s="79" t="s">
        <v>210</v>
      </c>
      <c r="C14" s="79" t="s">
        <v>211</v>
      </c>
      <c r="D14" s="79" t="s">
        <v>212</v>
      </c>
      <c r="E14" s="80" t="s">
        <v>272</v>
      </c>
      <c r="F14" s="79" t="s">
        <v>576</v>
      </c>
      <c r="G14" s="79" t="s">
        <v>36</v>
      </c>
      <c r="H14" s="81" t="s">
        <v>528</v>
      </c>
      <c r="I14" s="79" t="s">
        <v>577</v>
      </c>
      <c r="J14" s="79" t="s">
        <v>530</v>
      </c>
      <c r="K14" s="79" t="s">
        <v>531</v>
      </c>
      <c r="L14" s="13" t="s">
        <v>45</v>
      </c>
      <c r="M14" s="81" t="s">
        <v>532</v>
      </c>
      <c r="N14" s="81" t="s">
        <v>533</v>
      </c>
      <c r="O14" s="82">
        <v>45683</v>
      </c>
      <c r="P14" s="102">
        <v>45694</v>
      </c>
      <c r="Q14" s="105"/>
      <c r="R14" s="81"/>
      <c r="S14" s="25" t="s">
        <v>578</v>
      </c>
      <c r="T14" s="145" t="s">
        <v>579</v>
      </c>
    </row>
    <row r="15" spans="1:20" ht="99.95" customHeight="1">
      <c r="A15" s="78" t="s">
        <v>526</v>
      </c>
      <c r="B15" s="79" t="s">
        <v>210</v>
      </c>
      <c r="C15" s="79" t="s">
        <v>211</v>
      </c>
      <c r="D15" s="79" t="s">
        <v>212</v>
      </c>
      <c r="E15" s="80" t="s">
        <v>277</v>
      </c>
      <c r="F15" s="79" t="s">
        <v>580</v>
      </c>
      <c r="G15" s="79" t="s">
        <v>36</v>
      </c>
      <c r="H15" s="81" t="s">
        <v>528</v>
      </c>
      <c r="I15" s="79" t="s">
        <v>581</v>
      </c>
      <c r="J15" s="79" t="s">
        <v>530</v>
      </c>
      <c r="K15" s="79" t="s">
        <v>531</v>
      </c>
      <c r="L15" s="13" t="s">
        <v>45</v>
      </c>
      <c r="M15" s="81" t="s">
        <v>532</v>
      </c>
      <c r="N15" s="81" t="s">
        <v>533</v>
      </c>
      <c r="O15" s="82">
        <v>45683</v>
      </c>
      <c r="P15" s="102">
        <v>45694</v>
      </c>
      <c r="Q15" s="105"/>
      <c r="R15" s="81"/>
      <c r="S15" s="143" t="s">
        <v>582</v>
      </c>
      <c r="T15" s="143" t="s">
        <v>582</v>
      </c>
    </row>
    <row r="16" spans="1:20" ht="96.6" customHeight="1">
      <c r="A16" s="78" t="s">
        <v>526</v>
      </c>
      <c r="B16" s="79" t="s">
        <v>210</v>
      </c>
      <c r="C16" s="79" t="s">
        <v>211</v>
      </c>
      <c r="D16" s="79" t="s">
        <v>212</v>
      </c>
      <c r="E16" s="80" t="s">
        <v>282</v>
      </c>
      <c r="F16" s="79" t="s">
        <v>583</v>
      </c>
      <c r="G16" s="79" t="s">
        <v>36</v>
      </c>
      <c r="H16" s="81" t="s">
        <v>528</v>
      </c>
      <c r="I16" s="79" t="s">
        <v>584</v>
      </c>
      <c r="J16" s="79" t="s">
        <v>585</v>
      </c>
      <c r="K16" s="79" t="s">
        <v>586</v>
      </c>
      <c r="L16" s="13" t="s">
        <v>45</v>
      </c>
      <c r="M16" s="81" t="s">
        <v>532</v>
      </c>
      <c r="N16" s="81" t="s">
        <v>533</v>
      </c>
      <c r="O16" s="82">
        <v>45683</v>
      </c>
      <c r="P16" s="102">
        <v>45694</v>
      </c>
      <c r="Q16" s="105"/>
      <c r="R16" s="81"/>
      <c r="S16" s="141" t="s">
        <v>587</v>
      </c>
      <c r="T16" s="142" t="s">
        <v>588</v>
      </c>
    </row>
    <row r="17" spans="1:20" ht="99.95" customHeight="1">
      <c r="A17" s="78" t="s">
        <v>526</v>
      </c>
      <c r="B17" s="79" t="s">
        <v>210</v>
      </c>
      <c r="C17" s="79" t="s">
        <v>211</v>
      </c>
      <c r="D17" s="79" t="s">
        <v>212</v>
      </c>
      <c r="E17" s="80" t="s">
        <v>287</v>
      </c>
      <c r="F17" s="79" t="s">
        <v>589</v>
      </c>
      <c r="G17" s="79" t="s">
        <v>36</v>
      </c>
      <c r="H17" s="81" t="s">
        <v>528</v>
      </c>
      <c r="I17" s="79" t="s">
        <v>590</v>
      </c>
      <c r="J17" s="79" t="s">
        <v>530</v>
      </c>
      <c r="K17" s="79" t="s">
        <v>531</v>
      </c>
      <c r="L17" s="13" t="s">
        <v>45</v>
      </c>
      <c r="M17" s="81" t="s">
        <v>532</v>
      </c>
      <c r="N17" s="81" t="s">
        <v>533</v>
      </c>
      <c r="O17" s="82">
        <v>45683</v>
      </c>
      <c r="P17" s="102">
        <v>45694</v>
      </c>
      <c r="Q17" s="105"/>
      <c r="R17" s="81"/>
      <c r="S17" s="141" t="s">
        <v>591</v>
      </c>
      <c r="T17" s="142" t="s">
        <v>592</v>
      </c>
    </row>
    <row r="18" spans="1:20" ht="99.95" customHeight="1">
      <c r="A18" s="78" t="s">
        <v>526</v>
      </c>
      <c r="B18" s="79" t="s">
        <v>210</v>
      </c>
      <c r="C18" s="79" t="s">
        <v>211</v>
      </c>
      <c r="D18" s="79" t="s">
        <v>212</v>
      </c>
      <c r="E18" s="80" t="s">
        <v>292</v>
      </c>
      <c r="F18" s="79" t="s">
        <v>593</v>
      </c>
      <c r="G18" s="79" t="s">
        <v>36</v>
      </c>
      <c r="H18" s="81" t="s">
        <v>528</v>
      </c>
      <c r="I18" s="79" t="s">
        <v>594</v>
      </c>
      <c r="J18" s="79" t="s">
        <v>530</v>
      </c>
      <c r="K18" s="79" t="s">
        <v>531</v>
      </c>
      <c r="L18" s="13" t="s">
        <v>45</v>
      </c>
      <c r="M18" s="81" t="s">
        <v>532</v>
      </c>
      <c r="N18" s="81" t="s">
        <v>533</v>
      </c>
      <c r="O18" s="82">
        <v>45683</v>
      </c>
      <c r="P18" s="102">
        <v>45694</v>
      </c>
      <c r="Q18" s="105"/>
      <c r="R18" s="81"/>
      <c r="S18" s="141" t="s">
        <v>595</v>
      </c>
      <c r="T18" s="142" t="s">
        <v>596</v>
      </c>
    </row>
    <row r="19" spans="1:20" ht="99.95" customHeight="1">
      <c r="A19" s="78" t="s">
        <v>526</v>
      </c>
      <c r="B19" s="79" t="s">
        <v>210</v>
      </c>
      <c r="C19" s="79" t="s">
        <v>211</v>
      </c>
      <c r="D19" s="79" t="s">
        <v>212</v>
      </c>
      <c r="E19" s="80" t="s">
        <v>297</v>
      </c>
      <c r="F19" s="79" t="s">
        <v>597</v>
      </c>
      <c r="G19" s="79" t="s">
        <v>36</v>
      </c>
      <c r="H19" s="81" t="s">
        <v>528</v>
      </c>
      <c r="I19" s="79" t="s">
        <v>598</v>
      </c>
      <c r="J19" s="79" t="s">
        <v>530</v>
      </c>
      <c r="K19" s="79" t="s">
        <v>531</v>
      </c>
      <c r="L19" s="13" t="s">
        <v>45</v>
      </c>
      <c r="M19" s="81" t="s">
        <v>532</v>
      </c>
      <c r="N19" s="81" t="s">
        <v>533</v>
      </c>
      <c r="O19" s="82">
        <v>45683</v>
      </c>
      <c r="P19" s="102">
        <v>45694</v>
      </c>
      <c r="Q19" s="105"/>
      <c r="R19" s="81"/>
      <c r="S19" s="141" t="s">
        <v>599</v>
      </c>
      <c r="T19" s="142" t="s">
        <v>600</v>
      </c>
    </row>
    <row r="20" spans="1:20" ht="99.95" customHeight="1">
      <c r="A20" s="78" t="s">
        <v>526</v>
      </c>
      <c r="B20" s="79" t="s">
        <v>210</v>
      </c>
      <c r="C20" s="79" t="s">
        <v>211</v>
      </c>
      <c r="D20" s="79" t="s">
        <v>212</v>
      </c>
      <c r="E20" s="80" t="s">
        <v>301</v>
      </c>
      <c r="F20" s="79" t="s">
        <v>601</v>
      </c>
      <c r="G20" s="79" t="s">
        <v>36</v>
      </c>
      <c r="H20" s="81" t="s">
        <v>528</v>
      </c>
      <c r="I20" s="79" t="s">
        <v>602</v>
      </c>
      <c r="J20" s="79" t="s">
        <v>530</v>
      </c>
      <c r="K20" s="79" t="s">
        <v>531</v>
      </c>
      <c r="L20" s="13" t="s">
        <v>45</v>
      </c>
      <c r="M20" s="81" t="s">
        <v>532</v>
      </c>
      <c r="N20" s="81" t="s">
        <v>533</v>
      </c>
      <c r="O20" s="82">
        <v>45683</v>
      </c>
      <c r="P20" s="102">
        <v>45694</v>
      </c>
      <c r="Q20" s="105"/>
      <c r="R20" s="81"/>
      <c r="S20" s="141" t="s">
        <v>603</v>
      </c>
      <c r="T20" s="142" t="s">
        <v>604</v>
      </c>
    </row>
    <row r="21" spans="1:20" ht="99.95" customHeight="1">
      <c r="A21" s="78" t="s">
        <v>526</v>
      </c>
      <c r="B21" s="79" t="s">
        <v>210</v>
      </c>
      <c r="C21" s="79" t="s">
        <v>211</v>
      </c>
      <c r="D21" s="79" t="s">
        <v>212</v>
      </c>
      <c r="E21" s="80" t="s">
        <v>306</v>
      </c>
      <c r="F21" s="79" t="s">
        <v>605</v>
      </c>
      <c r="G21" s="79" t="s">
        <v>36</v>
      </c>
      <c r="H21" s="81" t="s">
        <v>528</v>
      </c>
      <c r="I21" s="79" t="s">
        <v>606</v>
      </c>
      <c r="J21" s="79" t="s">
        <v>530</v>
      </c>
      <c r="K21" s="79" t="s">
        <v>531</v>
      </c>
      <c r="L21" s="13" t="s">
        <v>45</v>
      </c>
      <c r="M21" s="81" t="s">
        <v>532</v>
      </c>
      <c r="N21" s="81" t="s">
        <v>533</v>
      </c>
      <c r="O21" s="82">
        <v>45683</v>
      </c>
      <c r="P21" s="102">
        <v>45694</v>
      </c>
      <c r="Q21" s="105"/>
      <c r="R21" s="81"/>
      <c r="S21" s="141" t="s">
        <v>607</v>
      </c>
      <c r="T21" s="142" t="s">
        <v>608</v>
      </c>
    </row>
    <row r="22" spans="1:20" ht="99.95" customHeight="1">
      <c r="A22" s="78" t="s">
        <v>526</v>
      </c>
      <c r="B22" s="79" t="s">
        <v>210</v>
      </c>
      <c r="C22" s="79" t="s">
        <v>211</v>
      </c>
      <c r="D22" s="79" t="s">
        <v>212</v>
      </c>
      <c r="E22" s="80" t="s">
        <v>310</v>
      </c>
      <c r="F22" s="79" t="s">
        <v>609</v>
      </c>
      <c r="G22" s="79" t="s">
        <v>36</v>
      </c>
      <c r="H22" s="81" t="s">
        <v>528</v>
      </c>
      <c r="I22" s="79" t="s">
        <v>610</v>
      </c>
      <c r="J22" s="79" t="s">
        <v>530</v>
      </c>
      <c r="K22" s="79" t="s">
        <v>531</v>
      </c>
      <c r="L22" s="13" t="s">
        <v>45</v>
      </c>
      <c r="M22" s="81" t="s">
        <v>532</v>
      </c>
      <c r="N22" s="81" t="s">
        <v>533</v>
      </c>
      <c r="O22" s="82">
        <v>45683</v>
      </c>
      <c r="P22" s="102">
        <v>45694</v>
      </c>
      <c r="Q22" s="105"/>
      <c r="R22" s="81"/>
      <c r="S22" s="141" t="s">
        <v>611</v>
      </c>
      <c r="T22" s="142" t="s">
        <v>612</v>
      </c>
    </row>
    <row r="23" spans="1:20" ht="99.95" customHeight="1">
      <c r="A23" s="78" t="s">
        <v>526</v>
      </c>
      <c r="B23" s="79" t="s">
        <v>210</v>
      </c>
      <c r="C23" s="79" t="s">
        <v>211</v>
      </c>
      <c r="D23" s="79" t="s">
        <v>212</v>
      </c>
      <c r="E23" s="80" t="s">
        <v>314</v>
      </c>
      <c r="F23" s="79" t="s">
        <v>613</v>
      </c>
      <c r="G23" s="79" t="s">
        <v>36</v>
      </c>
      <c r="H23" s="81" t="s">
        <v>528</v>
      </c>
      <c r="I23" s="79" t="s">
        <v>614</v>
      </c>
      <c r="J23" s="79" t="s">
        <v>530</v>
      </c>
      <c r="K23" s="79" t="s">
        <v>531</v>
      </c>
      <c r="L23" s="13" t="s">
        <v>45</v>
      </c>
      <c r="M23" s="81" t="s">
        <v>532</v>
      </c>
      <c r="N23" s="81" t="s">
        <v>533</v>
      </c>
      <c r="O23" s="82">
        <v>45683</v>
      </c>
      <c r="P23" s="102">
        <v>45694</v>
      </c>
      <c r="Q23" s="105"/>
      <c r="R23" s="81"/>
      <c r="S23" s="141" t="s">
        <v>615</v>
      </c>
      <c r="T23" s="142" t="s">
        <v>616</v>
      </c>
    </row>
    <row r="24" spans="1:20" ht="99.95" customHeight="1">
      <c r="A24" s="78" t="s">
        <v>526</v>
      </c>
      <c r="B24" s="79" t="s">
        <v>210</v>
      </c>
      <c r="C24" s="79" t="s">
        <v>211</v>
      </c>
      <c r="D24" s="79" t="s">
        <v>212</v>
      </c>
      <c r="E24" s="80" t="s">
        <v>318</v>
      </c>
      <c r="F24" s="79" t="s">
        <v>617</v>
      </c>
      <c r="G24" s="79" t="s">
        <v>36</v>
      </c>
      <c r="H24" s="81" t="s">
        <v>528</v>
      </c>
      <c r="I24" s="79" t="s">
        <v>618</v>
      </c>
      <c r="J24" s="79" t="s">
        <v>530</v>
      </c>
      <c r="K24" s="79" t="s">
        <v>531</v>
      </c>
      <c r="L24" s="13" t="s">
        <v>45</v>
      </c>
      <c r="M24" s="81" t="s">
        <v>532</v>
      </c>
      <c r="N24" s="81" t="s">
        <v>533</v>
      </c>
      <c r="O24" s="82">
        <v>45683</v>
      </c>
      <c r="P24" s="102">
        <v>45694</v>
      </c>
      <c r="Q24" s="105"/>
      <c r="R24" s="81"/>
      <c r="S24" s="141" t="s">
        <v>619</v>
      </c>
      <c r="T24" s="142" t="s">
        <v>620</v>
      </c>
    </row>
    <row r="25" spans="1:20" ht="99.95" customHeight="1">
      <c r="A25" s="78" t="s">
        <v>526</v>
      </c>
      <c r="B25" s="79" t="s">
        <v>210</v>
      </c>
      <c r="C25" s="79" t="s">
        <v>211</v>
      </c>
      <c r="D25" s="79" t="s">
        <v>212</v>
      </c>
      <c r="E25" s="80" t="s">
        <v>323</v>
      </c>
      <c r="F25" s="79" t="s">
        <v>621</v>
      </c>
      <c r="G25" s="79" t="s">
        <v>36</v>
      </c>
      <c r="H25" s="81" t="s">
        <v>528</v>
      </c>
      <c r="I25" s="79" t="s">
        <v>622</v>
      </c>
      <c r="J25" s="79" t="s">
        <v>530</v>
      </c>
      <c r="K25" s="79" t="s">
        <v>531</v>
      </c>
      <c r="L25" s="13" t="s">
        <v>45</v>
      </c>
      <c r="M25" s="81" t="s">
        <v>532</v>
      </c>
      <c r="N25" s="81" t="s">
        <v>533</v>
      </c>
      <c r="O25" s="82">
        <v>45683</v>
      </c>
      <c r="P25" s="102">
        <v>45694</v>
      </c>
      <c r="Q25" s="105"/>
      <c r="R25" s="81"/>
      <c r="S25" s="141" t="s">
        <v>623</v>
      </c>
      <c r="T25" s="142" t="s">
        <v>624</v>
      </c>
    </row>
    <row r="26" spans="1:20" ht="99.95" customHeight="1">
      <c r="A26" s="78" t="s">
        <v>526</v>
      </c>
      <c r="B26" s="79" t="s">
        <v>210</v>
      </c>
      <c r="C26" s="79" t="s">
        <v>211</v>
      </c>
      <c r="D26" s="79" t="s">
        <v>212</v>
      </c>
      <c r="E26" s="80" t="s">
        <v>328</v>
      </c>
      <c r="F26" s="79" t="s">
        <v>625</v>
      </c>
      <c r="G26" s="79" t="s">
        <v>36</v>
      </c>
      <c r="H26" s="81" t="s">
        <v>528</v>
      </c>
      <c r="I26" s="79" t="s">
        <v>626</v>
      </c>
      <c r="J26" s="79" t="s">
        <v>530</v>
      </c>
      <c r="K26" s="79" t="s">
        <v>531</v>
      </c>
      <c r="L26" s="13" t="s">
        <v>45</v>
      </c>
      <c r="M26" s="81" t="s">
        <v>532</v>
      </c>
      <c r="N26" s="81" t="s">
        <v>533</v>
      </c>
      <c r="O26" s="82">
        <v>45683</v>
      </c>
      <c r="P26" s="102">
        <v>45694</v>
      </c>
      <c r="Q26" s="105"/>
      <c r="R26" s="81"/>
      <c r="S26" s="141" t="s">
        <v>627</v>
      </c>
      <c r="T26" s="142" t="s">
        <v>628</v>
      </c>
    </row>
    <row r="27" spans="1:20" ht="99.95" customHeight="1">
      <c r="A27" s="78" t="s">
        <v>526</v>
      </c>
      <c r="B27" s="79" t="s">
        <v>210</v>
      </c>
      <c r="C27" s="79" t="s">
        <v>211</v>
      </c>
      <c r="D27" s="79" t="s">
        <v>212</v>
      </c>
      <c r="E27" s="80" t="s">
        <v>332</v>
      </c>
      <c r="F27" s="79" t="s">
        <v>629</v>
      </c>
      <c r="G27" s="79" t="s">
        <v>36</v>
      </c>
      <c r="H27" s="81" t="s">
        <v>528</v>
      </c>
      <c r="I27" s="79" t="s">
        <v>630</v>
      </c>
      <c r="J27" s="79" t="s">
        <v>530</v>
      </c>
      <c r="K27" s="79" t="s">
        <v>531</v>
      </c>
      <c r="L27" s="13" t="s">
        <v>45</v>
      </c>
      <c r="M27" s="81" t="s">
        <v>532</v>
      </c>
      <c r="N27" s="81" t="s">
        <v>533</v>
      </c>
      <c r="O27" s="82">
        <v>45683</v>
      </c>
      <c r="P27" s="102">
        <v>45694</v>
      </c>
      <c r="Q27" s="105"/>
      <c r="R27" s="81"/>
      <c r="S27" s="141" t="s">
        <v>631</v>
      </c>
      <c r="T27" s="142" t="s">
        <v>632</v>
      </c>
    </row>
    <row r="28" spans="1:20" ht="99.95" customHeight="1">
      <c r="A28" s="78" t="s">
        <v>526</v>
      </c>
      <c r="B28" s="79" t="s">
        <v>210</v>
      </c>
      <c r="C28" s="79" t="s">
        <v>211</v>
      </c>
      <c r="D28" s="79" t="s">
        <v>212</v>
      </c>
      <c r="E28" s="80" t="s">
        <v>336</v>
      </c>
      <c r="F28" s="79" t="s">
        <v>633</v>
      </c>
      <c r="G28" s="79" t="s">
        <v>36</v>
      </c>
      <c r="H28" s="81" t="s">
        <v>528</v>
      </c>
      <c r="I28" s="79" t="s">
        <v>630</v>
      </c>
      <c r="J28" s="79" t="s">
        <v>530</v>
      </c>
      <c r="K28" s="79" t="s">
        <v>531</v>
      </c>
      <c r="L28" s="13" t="s">
        <v>45</v>
      </c>
      <c r="M28" s="81" t="s">
        <v>532</v>
      </c>
      <c r="N28" s="81" t="s">
        <v>533</v>
      </c>
      <c r="O28" s="82">
        <v>45683</v>
      </c>
      <c r="P28" s="102">
        <v>45694</v>
      </c>
      <c r="Q28" s="105"/>
      <c r="R28" s="81"/>
      <c r="S28" s="141" t="s">
        <v>634</v>
      </c>
      <c r="T28" s="142" t="s">
        <v>635</v>
      </c>
    </row>
    <row r="29" spans="1:20" ht="99.95" customHeight="1">
      <c r="A29" s="78" t="s">
        <v>526</v>
      </c>
      <c r="B29" s="79" t="s">
        <v>210</v>
      </c>
      <c r="C29" s="79" t="s">
        <v>211</v>
      </c>
      <c r="D29" s="79" t="s">
        <v>212</v>
      </c>
      <c r="E29" s="80" t="s">
        <v>340</v>
      </c>
      <c r="F29" s="79" t="s">
        <v>636</v>
      </c>
      <c r="G29" s="79" t="s">
        <v>36</v>
      </c>
      <c r="H29" s="81" t="s">
        <v>528</v>
      </c>
      <c r="I29" s="79" t="s">
        <v>637</v>
      </c>
      <c r="J29" s="79" t="s">
        <v>530</v>
      </c>
      <c r="K29" s="79" t="s">
        <v>531</v>
      </c>
      <c r="L29" s="13" t="s">
        <v>45</v>
      </c>
      <c r="M29" s="81" t="s">
        <v>532</v>
      </c>
      <c r="N29" s="81" t="s">
        <v>533</v>
      </c>
      <c r="O29" s="82">
        <v>45683</v>
      </c>
      <c r="P29" s="102">
        <v>45694</v>
      </c>
      <c r="Q29" s="105"/>
      <c r="R29" s="81"/>
      <c r="S29" s="141" t="s">
        <v>638</v>
      </c>
      <c r="T29" s="142" t="s">
        <v>639</v>
      </c>
    </row>
    <row r="30" spans="1:20" ht="99.95" customHeight="1">
      <c r="A30" s="78" t="s">
        <v>526</v>
      </c>
      <c r="B30" s="79" t="s">
        <v>210</v>
      </c>
      <c r="C30" s="79" t="s">
        <v>211</v>
      </c>
      <c r="D30" s="79" t="s">
        <v>212</v>
      </c>
      <c r="E30" s="80" t="s">
        <v>345</v>
      </c>
      <c r="F30" s="79" t="s">
        <v>640</v>
      </c>
      <c r="G30" s="79" t="s">
        <v>36</v>
      </c>
      <c r="H30" s="81" t="s">
        <v>528</v>
      </c>
      <c r="I30" s="79" t="s">
        <v>641</v>
      </c>
      <c r="J30" s="79" t="s">
        <v>530</v>
      </c>
      <c r="K30" s="79" t="s">
        <v>531</v>
      </c>
      <c r="L30" s="13" t="s">
        <v>45</v>
      </c>
      <c r="M30" s="81" t="s">
        <v>532</v>
      </c>
      <c r="N30" s="81" t="s">
        <v>533</v>
      </c>
      <c r="O30" s="82">
        <v>45683</v>
      </c>
      <c r="P30" s="102">
        <v>45694</v>
      </c>
      <c r="Q30" s="105"/>
      <c r="R30" s="81"/>
      <c r="S30" s="25" t="s">
        <v>642</v>
      </c>
      <c r="T30" s="145" t="s">
        <v>643</v>
      </c>
    </row>
    <row r="31" spans="1:20" ht="99.95" customHeight="1">
      <c r="A31" s="78" t="s">
        <v>526</v>
      </c>
      <c r="B31" s="79" t="s">
        <v>210</v>
      </c>
      <c r="C31" s="79" t="s">
        <v>211</v>
      </c>
      <c r="D31" s="79" t="s">
        <v>212</v>
      </c>
      <c r="E31" s="80" t="s">
        <v>349</v>
      </c>
      <c r="F31" s="79" t="s">
        <v>644</v>
      </c>
      <c r="G31" s="79" t="s">
        <v>36</v>
      </c>
      <c r="H31" s="81" t="s">
        <v>528</v>
      </c>
      <c r="I31" s="79" t="s">
        <v>645</v>
      </c>
      <c r="J31" s="79" t="s">
        <v>530</v>
      </c>
      <c r="K31" s="79" t="s">
        <v>531</v>
      </c>
      <c r="L31" s="13" t="s">
        <v>45</v>
      </c>
      <c r="M31" s="81" t="s">
        <v>532</v>
      </c>
      <c r="N31" s="81" t="s">
        <v>533</v>
      </c>
      <c r="O31" s="82">
        <v>45683</v>
      </c>
      <c r="P31" s="102">
        <v>45694</v>
      </c>
      <c r="Q31" s="105"/>
      <c r="R31" s="81"/>
      <c r="S31" s="143" t="s">
        <v>646</v>
      </c>
      <c r="T31" s="143" t="s">
        <v>582</v>
      </c>
    </row>
    <row r="32" spans="1:20" ht="99.95" customHeight="1">
      <c r="A32" s="78" t="s">
        <v>526</v>
      </c>
      <c r="B32" s="79" t="s">
        <v>210</v>
      </c>
      <c r="C32" s="79" t="s">
        <v>211</v>
      </c>
      <c r="D32" s="79" t="s">
        <v>212</v>
      </c>
      <c r="E32" s="80" t="s">
        <v>354</v>
      </c>
      <c r="F32" s="79" t="s">
        <v>647</v>
      </c>
      <c r="G32" s="79" t="s">
        <v>36</v>
      </c>
      <c r="H32" s="81" t="s">
        <v>528</v>
      </c>
      <c r="I32" s="79" t="s">
        <v>648</v>
      </c>
      <c r="J32" s="79" t="s">
        <v>585</v>
      </c>
      <c r="K32" s="79" t="s">
        <v>586</v>
      </c>
      <c r="L32" s="13" t="s">
        <v>45</v>
      </c>
      <c r="M32" s="81" t="s">
        <v>532</v>
      </c>
      <c r="N32" s="81" t="s">
        <v>533</v>
      </c>
      <c r="O32" s="82">
        <v>45683</v>
      </c>
      <c r="P32" s="102">
        <v>45694</v>
      </c>
      <c r="Q32" s="105"/>
      <c r="R32" s="81"/>
      <c r="S32" s="141" t="s">
        <v>649</v>
      </c>
      <c r="T32" s="142" t="s">
        <v>650</v>
      </c>
    </row>
    <row r="33" spans="1:20" ht="99.95" customHeight="1">
      <c r="A33" s="78" t="s">
        <v>526</v>
      </c>
      <c r="B33" s="79" t="s">
        <v>210</v>
      </c>
      <c r="C33" s="79" t="s">
        <v>211</v>
      </c>
      <c r="D33" s="79" t="s">
        <v>212</v>
      </c>
      <c r="E33" s="80" t="s">
        <v>359</v>
      </c>
      <c r="F33" s="79" t="s">
        <v>651</v>
      </c>
      <c r="G33" s="79" t="s">
        <v>36</v>
      </c>
      <c r="H33" s="81" t="s">
        <v>528</v>
      </c>
      <c r="I33" s="79" t="s">
        <v>652</v>
      </c>
      <c r="J33" s="79" t="s">
        <v>530</v>
      </c>
      <c r="K33" s="79" t="s">
        <v>531</v>
      </c>
      <c r="L33" s="13" t="s">
        <v>45</v>
      </c>
      <c r="M33" s="81" t="s">
        <v>532</v>
      </c>
      <c r="N33" s="81" t="s">
        <v>533</v>
      </c>
      <c r="O33" s="82">
        <v>45683</v>
      </c>
      <c r="P33" s="102">
        <v>45694</v>
      </c>
      <c r="Q33" s="105"/>
      <c r="R33" s="81"/>
      <c r="S33" s="141" t="s">
        <v>653</v>
      </c>
      <c r="T33" s="142" t="s">
        <v>654</v>
      </c>
    </row>
    <row r="34" spans="1:20" ht="99.95" customHeight="1">
      <c r="A34" s="78" t="s">
        <v>526</v>
      </c>
      <c r="B34" s="79" t="s">
        <v>210</v>
      </c>
      <c r="C34" s="79" t="s">
        <v>211</v>
      </c>
      <c r="D34" s="79" t="s">
        <v>212</v>
      </c>
      <c r="E34" s="80" t="s">
        <v>364</v>
      </c>
      <c r="F34" s="79" t="s">
        <v>655</v>
      </c>
      <c r="G34" s="79" t="s">
        <v>36</v>
      </c>
      <c r="H34" s="81" t="s">
        <v>528</v>
      </c>
      <c r="I34" s="79" t="s">
        <v>656</v>
      </c>
      <c r="J34" s="79" t="s">
        <v>530</v>
      </c>
      <c r="K34" s="79" t="s">
        <v>531</v>
      </c>
      <c r="L34" s="13" t="s">
        <v>45</v>
      </c>
      <c r="M34" s="81" t="s">
        <v>532</v>
      </c>
      <c r="N34" s="81" t="s">
        <v>533</v>
      </c>
      <c r="O34" s="82">
        <v>45683</v>
      </c>
      <c r="P34" s="102">
        <v>45694</v>
      </c>
      <c r="Q34" s="105"/>
      <c r="R34" s="81"/>
      <c r="S34" s="141" t="s">
        <v>657</v>
      </c>
      <c r="T34" s="142" t="s">
        <v>658</v>
      </c>
    </row>
    <row r="35" spans="1:20" ht="99.95" customHeight="1">
      <c r="A35" s="78" t="s">
        <v>526</v>
      </c>
      <c r="B35" s="79" t="s">
        <v>210</v>
      </c>
      <c r="C35" s="79" t="s">
        <v>211</v>
      </c>
      <c r="D35" s="79" t="s">
        <v>212</v>
      </c>
      <c r="E35" s="80" t="s">
        <v>369</v>
      </c>
      <c r="F35" s="79" t="s">
        <v>659</v>
      </c>
      <c r="G35" s="79" t="s">
        <v>36</v>
      </c>
      <c r="H35" s="81" t="s">
        <v>528</v>
      </c>
      <c r="I35" s="79" t="s">
        <v>660</v>
      </c>
      <c r="J35" s="79" t="s">
        <v>530</v>
      </c>
      <c r="K35" s="79" t="s">
        <v>531</v>
      </c>
      <c r="L35" s="13" t="s">
        <v>45</v>
      </c>
      <c r="M35" s="81" t="s">
        <v>532</v>
      </c>
      <c r="N35" s="81" t="s">
        <v>533</v>
      </c>
      <c r="O35" s="82">
        <v>45683</v>
      </c>
      <c r="P35" s="102">
        <v>45694</v>
      </c>
      <c r="Q35" s="105"/>
      <c r="R35" s="81"/>
      <c r="S35" s="141" t="s">
        <v>595</v>
      </c>
      <c r="T35" s="142" t="s">
        <v>596</v>
      </c>
    </row>
    <row r="36" spans="1:20" ht="99.95" customHeight="1">
      <c r="A36" s="78" t="s">
        <v>526</v>
      </c>
      <c r="B36" s="79" t="s">
        <v>210</v>
      </c>
      <c r="C36" s="79" t="s">
        <v>211</v>
      </c>
      <c r="D36" s="79" t="s">
        <v>212</v>
      </c>
      <c r="E36" s="80" t="s">
        <v>374</v>
      </c>
      <c r="F36" s="79" t="s">
        <v>661</v>
      </c>
      <c r="G36" s="79" t="s">
        <v>36</v>
      </c>
      <c r="H36" s="81" t="s">
        <v>528</v>
      </c>
      <c r="I36" s="79" t="s">
        <v>662</v>
      </c>
      <c r="J36" s="79" t="s">
        <v>530</v>
      </c>
      <c r="K36" s="79" t="s">
        <v>531</v>
      </c>
      <c r="L36" s="13" t="s">
        <v>45</v>
      </c>
      <c r="M36" s="81" t="s">
        <v>532</v>
      </c>
      <c r="N36" s="81" t="s">
        <v>533</v>
      </c>
      <c r="O36" s="82">
        <v>45683</v>
      </c>
      <c r="P36" s="102">
        <v>45694</v>
      </c>
      <c r="Q36" s="105"/>
      <c r="R36" s="81"/>
      <c r="S36" s="141" t="s">
        <v>663</v>
      </c>
      <c r="T36" s="142" t="s">
        <v>664</v>
      </c>
    </row>
    <row r="37" spans="1:20" ht="99.95" customHeight="1">
      <c r="A37" s="78" t="s">
        <v>526</v>
      </c>
      <c r="B37" s="79" t="s">
        <v>210</v>
      </c>
      <c r="C37" s="79" t="s">
        <v>211</v>
      </c>
      <c r="D37" s="79" t="s">
        <v>212</v>
      </c>
      <c r="E37" s="80" t="s">
        <v>379</v>
      </c>
      <c r="F37" s="79" t="s">
        <v>665</v>
      </c>
      <c r="G37" s="79" t="s">
        <v>36</v>
      </c>
      <c r="H37" s="81" t="s">
        <v>528</v>
      </c>
      <c r="I37" s="79" t="s">
        <v>666</v>
      </c>
      <c r="J37" s="79" t="s">
        <v>530</v>
      </c>
      <c r="K37" s="79" t="s">
        <v>531</v>
      </c>
      <c r="L37" s="13" t="s">
        <v>45</v>
      </c>
      <c r="M37" s="81" t="s">
        <v>532</v>
      </c>
      <c r="N37" s="81" t="s">
        <v>533</v>
      </c>
      <c r="O37" s="82">
        <v>45683</v>
      </c>
      <c r="P37" s="102">
        <v>45694</v>
      </c>
      <c r="Q37" s="105"/>
      <c r="R37" s="81"/>
      <c r="S37" s="143" t="s">
        <v>667</v>
      </c>
      <c r="T37" s="143" t="s">
        <v>667</v>
      </c>
    </row>
    <row r="38" spans="1:20" ht="99.95" customHeight="1">
      <c r="A38" s="78" t="s">
        <v>526</v>
      </c>
      <c r="B38" s="79" t="s">
        <v>210</v>
      </c>
      <c r="C38" s="79" t="s">
        <v>211</v>
      </c>
      <c r="D38" s="79" t="s">
        <v>212</v>
      </c>
      <c r="E38" s="80" t="s">
        <v>384</v>
      </c>
      <c r="F38" s="79" t="s">
        <v>668</v>
      </c>
      <c r="G38" s="79" t="s">
        <v>36</v>
      </c>
      <c r="H38" s="81" t="s">
        <v>528</v>
      </c>
      <c r="I38" s="79" t="s">
        <v>669</v>
      </c>
      <c r="J38" s="79" t="s">
        <v>530</v>
      </c>
      <c r="K38" s="79" t="s">
        <v>531</v>
      </c>
      <c r="L38" s="13" t="s">
        <v>45</v>
      </c>
      <c r="M38" s="81" t="s">
        <v>532</v>
      </c>
      <c r="N38" s="81" t="s">
        <v>533</v>
      </c>
      <c r="O38" s="82">
        <v>45683</v>
      </c>
      <c r="P38" s="102">
        <v>45694</v>
      </c>
      <c r="Q38" s="105"/>
      <c r="R38" s="81"/>
      <c r="S38" s="141" t="s">
        <v>670</v>
      </c>
      <c r="T38" s="142" t="s">
        <v>671</v>
      </c>
    </row>
    <row r="39" spans="1:20" ht="99.95" customHeight="1">
      <c r="A39" s="78" t="s">
        <v>526</v>
      </c>
      <c r="B39" s="79" t="s">
        <v>210</v>
      </c>
      <c r="C39" s="79" t="s">
        <v>211</v>
      </c>
      <c r="D39" s="79" t="s">
        <v>212</v>
      </c>
      <c r="E39" s="80" t="s">
        <v>672</v>
      </c>
      <c r="F39" s="79" t="s">
        <v>673</v>
      </c>
      <c r="G39" s="79" t="s">
        <v>36</v>
      </c>
      <c r="H39" s="81" t="s">
        <v>528</v>
      </c>
      <c r="I39" s="79" t="s">
        <v>674</v>
      </c>
      <c r="J39" s="79" t="s">
        <v>675</v>
      </c>
      <c r="K39" s="79" t="s">
        <v>676</v>
      </c>
      <c r="L39" s="13" t="s">
        <v>45</v>
      </c>
      <c r="M39" s="81" t="s">
        <v>532</v>
      </c>
      <c r="N39" s="81" t="s">
        <v>533</v>
      </c>
      <c r="O39" s="82">
        <v>45683</v>
      </c>
      <c r="P39" s="102">
        <v>45694</v>
      </c>
      <c r="Q39" s="105"/>
      <c r="R39" s="81"/>
      <c r="S39" s="141" t="s">
        <v>677</v>
      </c>
      <c r="T39" s="142" t="s">
        <v>678</v>
      </c>
    </row>
    <row r="40" spans="1:20" ht="99.95" customHeight="1">
      <c r="A40" s="78" t="s">
        <v>526</v>
      </c>
      <c r="B40" s="79" t="s">
        <v>210</v>
      </c>
      <c r="C40" s="79" t="s">
        <v>211</v>
      </c>
      <c r="D40" s="79" t="s">
        <v>212</v>
      </c>
      <c r="E40" s="80" t="s">
        <v>679</v>
      </c>
      <c r="F40" s="79" t="s">
        <v>680</v>
      </c>
      <c r="G40" s="79" t="s">
        <v>36</v>
      </c>
      <c r="H40" s="81" t="s">
        <v>528</v>
      </c>
      <c r="I40" s="79" t="s">
        <v>681</v>
      </c>
      <c r="J40" s="79" t="s">
        <v>675</v>
      </c>
      <c r="K40" s="79" t="s">
        <v>676</v>
      </c>
      <c r="L40" s="13" t="s">
        <v>45</v>
      </c>
      <c r="M40" s="81" t="s">
        <v>532</v>
      </c>
      <c r="N40" s="81" t="s">
        <v>533</v>
      </c>
      <c r="O40" s="82">
        <v>45683</v>
      </c>
      <c r="P40" s="102">
        <v>45694</v>
      </c>
      <c r="Q40" s="105"/>
      <c r="R40" s="81"/>
      <c r="S40" s="141" t="s">
        <v>682</v>
      </c>
      <c r="T40" s="142" t="s">
        <v>683</v>
      </c>
    </row>
    <row r="41" spans="1:20" ht="99.95" customHeight="1">
      <c r="A41" s="78" t="s">
        <v>526</v>
      </c>
      <c r="B41" s="79" t="s">
        <v>210</v>
      </c>
      <c r="C41" s="79" t="s">
        <v>211</v>
      </c>
      <c r="D41" s="79" t="s">
        <v>212</v>
      </c>
      <c r="E41" s="80" t="s">
        <v>684</v>
      </c>
      <c r="F41" s="79" t="s">
        <v>685</v>
      </c>
      <c r="G41" s="79" t="s">
        <v>36</v>
      </c>
      <c r="H41" s="81" t="s">
        <v>528</v>
      </c>
      <c r="I41" s="79" t="s">
        <v>686</v>
      </c>
      <c r="J41" s="79" t="s">
        <v>675</v>
      </c>
      <c r="K41" s="79" t="s">
        <v>676</v>
      </c>
      <c r="L41" s="13" t="s">
        <v>45</v>
      </c>
      <c r="M41" s="81" t="s">
        <v>532</v>
      </c>
      <c r="N41" s="81" t="s">
        <v>533</v>
      </c>
      <c r="O41" s="82">
        <v>45683</v>
      </c>
      <c r="P41" s="102">
        <v>45694</v>
      </c>
      <c r="Q41" s="105"/>
      <c r="R41" s="81"/>
      <c r="S41" s="141" t="s">
        <v>687</v>
      </c>
      <c r="T41" s="142" t="s">
        <v>688</v>
      </c>
    </row>
    <row r="42" spans="1:20" ht="99.95" customHeight="1">
      <c r="A42" s="78" t="s">
        <v>526</v>
      </c>
      <c r="B42" s="79" t="s">
        <v>210</v>
      </c>
      <c r="C42" s="79" t="s">
        <v>211</v>
      </c>
      <c r="D42" s="79" t="s">
        <v>212</v>
      </c>
      <c r="E42" s="80" t="s">
        <v>689</v>
      </c>
      <c r="F42" s="79" t="s">
        <v>690</v>
      </c>
      <c r="G42" s="79" t="s">
        <v>36</v>
      </c>
      <c r="H42" s="81" t="s">
        <v>528</v>
      </c>
      <c r="I42" s="79" t="s">
        <v>691</v>
      </c>
      <c r="J42" s="79" t="s">
        <v>675</v>
      </c>
      <c r="K42" s="79" t="s">
        <v>692</v>
      </c>
      <c r="L42" s="13" t="s">
        <v>45</v>
      </c>
      <c r="M42" s="81" t="s">
        <v>532</v>
      </c>
      <c r="N42" s="81" t="s">
        <v>533</v>
      </c>
      <c r="O42" s="82">
        <v>45683</v>
      </c>
      <c r="P42" s="102">
        <v>45694</v>
      </c>
      <c r="Q42" s="105"/>
      <c r="R42" s="81"/>
      <c r="S42" s="141" t="s">
        <v>693</v>
      </c>
      <c r="T42" s="142" t="s">
        <v>694</v>
      </c>
    </row>
    <row r="43" spans="1:20" ht="99.95" customHeight="1">
      <c r="A43" s="78" t="s">
        <v>526</v>
      </c>
      <c r="B43" s="79" t="s">
        <v>210</v>
      </c>
      <c r="C43" s="79" t="s">
        <v>211</v>
      </c>
      <c r="D43" s="79" t="s">
        <v>212</v>
      </c>
      <c r="E43" s="80" t="s">
        <v>695</v>
      </c>
      <c r="F43" s="79" t="s">
        <v>696</v>
      </c>
      <c r="G43" s="79" t="s">
        <v>36</v>
      </c>
      <c r="H43" s="81" t="s">
        <v>528</v>
      </c>
      <c r="I43" s="79" t="s">
        <v>697</v>
      </c>
      <c r="J43" s="79" t="s">
        <v>675</v>
      </c>
      <c r="K43" s="79" t="s">
        <v>692</v>
      </c>
      <c r="L43" s="13" t="s">
        <v>45</v>
      </c>
      <c r="M43" s="81" t="s">
        <v>532</v>
      </c>
      <c r="N43" s="81" t="s">
        <v>533</v>
      </c>
      <c r="O43" s="82">
        <v>45683</v>
      </c>
      <c r="P43" s="102">
        <v>45694</v>
      </c>
      <c r="Q43" s="105"/>
      <c r="R43" s="81"/>
      <c r="S43" s="141" t="s">
        <v>698</v>
      </c>
      <c r="T43" s="142" t="s">
        <v>699</v>
      </c>
    </row>
    <row r="44" spans="1:20" ht="99.95" customHeight="1">
      <c r="A44" s="78" t="s">
        <v>526</v>
      </c>
      <c r="B44" s="79" t="s">
        <v>210</v>
      </c>
      <c r="C44" s="79" t="s">
        <v>211</v>
      </c>
      <c r="D44" s="79" t="s">
        <v>212</v>
      </c>
      <c r="E44" s="80" t="s">
        <v>700</v>
      </c>
      <c r="F44" s="79" t="s">
        <v>701</v>
      </c>
      <c r="G44" s="79" t="s">
        <v>36</v>
      </c>
      <c r="H44" s="81" t="s">
        <v>528</v>
      </c>
      <c r="I44" s="79" t="s">
        <v>702</v>
      </c>
      <c r="J44" s="79" t="s">
        <v>703</v>
      </c>
      <c r="K44" s="79" t="s">
        <v>704</v>
      </c>
      <c r="L44" s="13" t="s">
        <v>45</v>
      </c>
      <c r="M44" s="81" t="s">
        <v>532</v>
      </c>
      <c r="N44" s="81" t="s">
        <v>533</v>
      </c>
      <c r="O44" s="82">
        <v>45683</v>
      </c>
      <c r="P44" s="102">
        <v>45694</v>
      </c>
      <c r="Q44" s="105"/>
      <c r="R44" s="81"/>
      <c r="S44" s="141" t="s">
        <v>705</v>
      </c>
      <c r="T44" s="142" t="s">
        <v>706</v>
      </c>
    </row>
    <row r="45" spans="1:20" ht="99.95" customHeight="1">
      <c r="A45" s="78" t="s">
        <v>526</v>
      </c>
      <c r="B45" s="79" t="s">
        <v>210</v>
      </c>
      <c r="C45" s="79" t="s">
        <v>211</v>
      </c>
      <c r="D45" s="79" t="s">
        <v>212</v>
      </c>
      <c r="E45" s="80" t="s">
        <v>707</v>
      </c>
      <c r="F45" s="79" t="s">
        <v>708</v>
      </c>
      <c r="G45" s="79" t="s">
        <v>36</v>
      </c>
      <c r="H45" s="81" t="s">
        <v>528</v>
      </c>
      <c r="I45" s="79" t="s">
        <v>709</v>
      </c>
      <c r="J45" s="79" t="s">
        <v>703</v>
      </c>
      <c r="K45" s="79" t="s">
        <v>704</v>
      </c>
      <c r="L45" s="13" t="s">
        <v>45</v>
      </c>
      <c r="M45" s="81" t="s">
        <v>532</v>
      </c>
      <c r="N45" s="81" t="s">
        <v>533</v>
      </c>
      <c r="O45" s="82">
        <v>45683</v>
      </c>
      <c r="P45" s="102">
        <v>45694</v>
      </c>
      <c r="Q45" s="105"/>
      <c r="R45" s="81"/>
      <c r="S45" s="141" t="s">
        <v>710</v>
      </c>
      <c r="T45" s="142" t="s">
        <v>711</v>
      </c>
    </row>
    <row r="46" spans="1:20" ht="99.95" customHeight="1">
      <c r="A46" s="78" t="s">
        <v>526</v>
      </c>
      <c r="B46" s="79" t="s">
        <v>210</v>
      </c>
      <c r="C46" s="79" t="s">
        <v>211</v>
      </c>
      <c r="D46" s="79" t="s">
        <v>212</v>
      </c>
      <c r="E46" s="80" t="s">
        <v>712</v>
      </c>
      <c r="F46" s="79" t="s">
        <v>713</v>
      </c>
      <c r="G46" s="79" t="s">
        <v>36</v>
      </c>
      <c r="H46" s="81" t="s">
        <v>528</v>
      </c>
      <c r="I46" s="79" t="s">
        <v>714</v>
      </c>
      <c r="J46" s="79" t="s">
        <v>530</v>
      </c>
      <c r="K46" s="79" t="s">
        <v>715</v>
      </c>
      <c r="L46" s="13" t="s">
        <v>45</v>
      </c>
      <c r="M46" s="81" t="s">
        <v>532</v>
      </c>
      <c r="N46" s="81" t="s">
        <v>533</v>
      </c>
      <c r="O46" s="82">
        <v>45683</v>
      </c>
      <c r="P46" s="102">
        <v>45694</v>
      </c>
      <c r="Q46" s="105"/>
      <c r="R46" s="81"/>
      <c r="S46" s="143" t="s">
        <v>716</v>
      </c>
      <c r="T46" s="143" t="s">
        <v>717</v>
      </c>
    </row>
    <row r="47" spans="1:20" ht="99.95" customHeight="1">
      <c r="A47" s="78" t="s">
        <v>526</v>
      </c>
      <c r="B47" s="79" t="s">
        <v>210</v>
      </c>
      <c r="C47" s="79" t="s">
        <v>211</v>
      </c>
      <c r="D47" s="79" t="s">
        <v>212</v>
      </c>
      <c r="E47" s="80" t="s">
        <v>718</v>
      </c>
      <c r="F47" s="79" t="s">
        <v>719</v>
      </c>
      <c r="G47" s="79" t="s">
        <v>36</v>
      </c>
      <c r="H47" s="81" t="s">
        <v>528</v>
      </c>
      <c r="I47" s="79" t="s">
        <v>720</v>
      </c>
      <c r="J47" s="79" t="s">
        <v>530</v>
      </c>
      <c r="K47" s="79" t="s">
        <v>715</v>
      </c>
      <c r="L47" s="13" t="s">
        <v>45</v>
      </c>
      <c r="M47" s="81" t="s">
        <v>532</v>
      </c>
      <c r="N47" s="81" t="s">
        <v>533</v>
      </c>
      <c r="O47" s="82">
        <v>45683</v>
      </c>
      <c r="P47" s="102">
        <v>45694</v>
      </c>
      <c r="Q47" s="105"/>
      <c r="R47" s="81"/>
      <c r="S47" s="141" t="s">
        <v>570</v>
      </c>
      <c r="T47" s="142" t="s">
        <v>571</v>
      </c>
    </row>
    <row r="48" spans="1:20" ht="99.95" customHeight="1">
      <c r="A48" s="78" t="s">
        <v>526</v>
      </c>
      <c r="B48" s="79" t="s">
        <v>210</v>
      </c>
      <c r="C48" s="79" t="s">
        <v>211</v>
      </c>
      <c r="D48" s="79" t="s">
        <v>212</v>
      </c>
      <c r="E48" s="80" t="s">
        <v>721</v>
      </c>
      <c r="F48" s="79" t="s">
        <v>722</v>
      </c>
      <c r="G48" s="79" t="s">
        <v>36</v>
      </c>
      <c r="H48" s="81" t="s">
        <v>528</v>
      </c>
      <c r="I48" s="79" t="s">
        <v>723</v>
      </c>
      <c r="J48" s="79" t="s">
        <v>724</v>
      </c>
      <c r="K48" s="79" t="s">
        <v>725</v>
      </c>
      <c r="L48" s="13" t="s">
        <v>45</v>
      </c>
      <c r="M48" s="81" t="s">
        <v>532</v>
      </c>
      <c r="N48" s="81" t="s">
        <v>533</v>
      </c>
      <c r="O48" s="82">
        <v>45683</v>
      </c>
      <c r="P48" s="102">
        <v>45694</v>
      </c>
      <c r="Q48" s="105"/>
      <c r="R48" s="81"/>
      <c r="S48" s="25" t="s">
        <v>726</v>
      </c>
      <c r="T48" s="145" t="s">
        <v>727</v>
      </c>
    </row>
    <row r="49" spans="1:20" ht="99.95" customHeight="1">
      <c r="A49" s="78" t="s">
        <v>526</v>
      </c>
      <c r="B49" s="79" t="s">
        <v>210</v>
      </c>
      <c r="C49" s="79" t="s">
        <v>211</v>
      </c>
      <c r="D49" s="79" t="s">
        <v>212</v>
      </c>
      <c r="E49" s="80" t="s">
        <v>728</v>
      </c>
      <c r="F49" s="79" t="s">
        <v>729</v>
      </c>
      <c r="G49" s="79" t="s">
        <v>36</v>
      </c>
      <c r="H49" s="81" t="s">
        <v>528</v>
      </c>
      <c r="I49" s="79" t="s">
        <v>730</v>
      </c>
      <c r="J49" s="79" t="s">
        <v>530</v>
      </c>
      <c r="K49" s="79" t="s">
        <v>731</v>
      </c>
      <c r="L49" s="13" t="s">
        <v>45</v>
      </c>
      <c r="M49" s="81" t="s">
        <v>732</v>
      </c>
      <c r="N49" s="81" t="s">
        <v>533</v>
      </c>
      <c r="O49" s="82">
        <v>45683</v>
      </c>
      <c r="P49" s="102">
        <v>45694</v>
      </c>
      <c r="Q49" s="105"/>
      <c r="R49" s="81"/>
      <c r="S49" s="192" t="s">
        <v>733</v>
      </c>
      <c r="T49" s="193" t="s">
        <v>734</v>
      </c>
    </row>
    <row r="50" spans="1:20" ht="99.95" customHeight="1">
      <c r="A50" s="78" t="s">
        <v>526</v>
      </c>
      <c r="B50" s="79" t="s">
        <v>210</v>
      </c>
      <c r="C50" s="79" t="s">
        <v>211</v>
      </c>
      <c r="D50" s="79" t="s">
        <v>212</v>
      </c>
      <c r="E50" s="80" t="s">
        <v>735</v>
      </c>
      <c r="F50" s="79" t="s">
        <v>736</v>
      </c>
      <c r="G50" s="79" t="s">
        <v>36</v>
      </c>
      <c r="H50" s="81" t="s">
        <v>528</v>
      </c>
      <c r="I50" s="79" t="s">
        <v>737</v>
      </c>
      <c r="J50" s="79" t="s">
        <v>530</v>
      </c>
      <c r="K50" s="79" t="s">
        <v>731</v>
      </c>
      <c r="L50" s="13" t="s">
        <v>45</v>
      </c>
      <c r="M50" s="81" t="s">
        <v>732</v>
      </c>
      <c r="N50" s="81" t="s">
        <v>533</v>
      </c>
      <c r="O50" s="82">
        <v>45683</v>
      </c>
      <c r="P50" s="102">
        <v>45694</v>
      </c>
      <c r="Q50" s="105"/>
      <c r="R50" s="81"/>
      <c r="S50" s="141" t="s">
        <v>738</v>
      </c>
      <c r="T50" s="142" t="s">
        <v>739</v>
      </c>
    </row>
    <row r="51" spans="1:20" ht="99.95" customHeight="1">
      <c r="A51" s="78" t="s">
        <v>526</v>
      </c>
      <c r="B51" s="79" t="s">
        <v>210</v>
      </c>
      <c r="C51" s="79" t="s">
        <v>211</v>
      </c>
      <c r="D51" s="79" t="s">
        <v>212</v>
      </c>
      <c r="E51" s="80" t="s">
        <v>740</v>
      </c>
      <c r="F51" s="79" t="s">
        <v>741</v>
      </c>
      <c r="G51" s="79" t="s">
        <v>36</v>
      </c>
      <c r="H51" s="81" t="s">
        <v>528</v>
      </c>
      <c r="I51" s="79" t="s">
        <v>742</v>
      </c>
      <c r="J51" s="79" t="s">
        <v>530</v>
      </c>
      <c r="K51" s="79" t="s">
        <v>731</v>
      </c>
      <c r="L51" s="13" t="s">
        <v>45</v>
      </c>
      <c r="M51" s="81" t="s">
        <v>732</v>
      </c>
      <c r="N51" s="81" t="s">
        <v>533</v>
      </c>
      <c r="O51" s="82">
        <v>45683</v>
      </c>
      <c r="P51" s="102">
        <v>45694</v>
      </c>
      <c r="Q51" s="105"/>
      <c r="R51" s="81"/>
      <c r="S51" s="141" t="s">
        <v>743</v>
      </c>
      <c r="T51" s="142" t="s">
        <v>744</v>
      </c>
    </row>
    <row r="52" spans="1:20" ht="99.95" customHeight="1">
      <c r="A52" s="78" t="s">
        <v>526</v>
      </c>
      <c r="B52" s="79" t="s">
        <v>210</v>
      </c>
      <c r="C52" s="79" t="s">
        <v>211</v>
      </c>
      <c r="D52" s="79" t="s">
        <v>212</v>
      </c>
      <c r="E52" s="80" t="s">
        <v>745</v>
      </c>
      <c r="F52" s="79" t="s">
        <v>746</v>
      </c>
      <c r="G52" s="79" t="s">
        <v>36</v>
      </c>
      <c r="H52" s="81" t="s">
        <v>528</v>
      </c>
      <c r="I52" s="79" t="s">
        <v>747</v>
      </c>
      <c r="J52" s="79" t="s">
        <v>530</v>
      </c>
      <c r="K52" s="79" t="s">
        <v>731</v>
      </c>
      <c r="L52" s="13" t="s">
        <v>45</v>
      </c>
      <c r="M52" s="81" t="s">
        <v>732</v>
      </c>
      <c r="N52" s="81" t="s">
        <v>533</v>
      </c>
      <c r="O52" s="82">
        <v>45683</v>
      </c>
      <c r="P52" s="102">
        <v>45694</v>
      </c>
      <c r="Q52" s="105"/>
      <c r="R52" s="81"/>
      <c r="S52" s="141" t="s">
        <v>748</v>
      </c>
      <c r="T52" s="142" t="s">
        <v>749</v>
      </c>
    </row>
    <row r="53" spans="1:20" ht="99.95" customHeight="1">
      <c r="A53" s="78" t="s">
        <v>526</v>
      </c>
      <c r="B53" s="79" t="s">
        <v>210</v>
      </c>
      <c r="C53" s="79" t="s">
        <v>211</v>
      </c>
      <c r="D53" s="79" t="s">
        <v>212</v>
      </c>
      <c r="E53" s="80" t="s">
        <v>750</v>
      </c>
      <c r="F53" s="79" t="s">
        <v>751</v>
      </c>
      <c r="G53" s="79" t="s">
        <v>36</v>
      </c>
      <c r="H53" s="81" t="s">
        <v>528</v>
      </c>
      <c r="I53" s="79" t="s">
        <v>752</v>
      </c>
      <c r="J53" s="79" t="s">
        <v>530</v>
      </c>
      <c r="K53" s="79" t="s">
        <v>731</v>
      </c>
      <c r="L53" s="13" t="s">
        <v>45</v>
      </c>
      <c r="M53" s="81" t="s">
        <v>732</v>
      </c>
      <c r="N53" s="81" t="s">
        <v>533</v>
      </c>
      <c r="O53" s="82">
        <v>45683</v>
      </c>
      <c r="P53" s="102">
        <v>45694</v>
      </c>
      <c r="Q53" s="105"/>
      <c r="R53" s="81"/>
      <c r="S53" s="141" t="s">
        <v>753</v>
      </c>
      <c r="T53" s="142" t="s">
        <v>754</v>
      </c>
    </row>
    <row r="54" spans="1:20" ht="99.95" customHeight="1">
      <c r="A54" s="78" t="s">
        <v>526</v>
      </c>
      <c r="B54" s="79" t="s">
        <v>210</v>
      </c>
      <c r="C54" s="79" t="s">
        <v>211</v>
      </c>
      <c r="D54" s="79" t="s">
        <v>212</v>
      </c>
      <c r="E54" s="80" t="s">
        <v>755</v>
      </c>
      <c r="F54" s="79" t="s">
        <v>756</v>
      </c>
      <c r="G54" s="79" t="s">
        <v>36</v>
      </c>
      <c r="H54" s="81" t="s">
        <v>528</v>
      </c>
      <c r="I54" s="79" t="s">
        <v>757</v>
      </c>
      <c r="J54" s="79" t="s">
        <v>530</v>
      </c>
      <c r="K54" s="79" t="s">
        <v>731</v>
      </c>
      <c r="L54" s="13" t="s">
        <v>45</v>
      </c>
      <c r="M54" s="81" t="s">
        <v>732</v>
      </c>
      <c r="N54" s="81" t="s">
        <v>533</v>
      </c>
      <c r="O54" s="82">
        <v>45683</v>
      </c>
      <c r="P54" s="102">
        <v>45694</v>
      </c>
      <c r="Q54" s="105"/>
      <c r="R54" s="81"/>
      <c r="S54" s="141" t="s">
        <v>758</v>
      </c>
      <c r="T54" s="142" t="s">
        <v>759</v>
      </c>
    </row>
    <row r="55" spans="1:20" ht="99.95" customHeight="1">
      <c r="A55" s="78" t="s">
        <v>526</v>
      </c>
      <c r="B55" s="79" t="s">
        <v>210</v>
      </c>
      <c r="C55" s="79" t="s">
        <v>211</v>
      </c>
      <c r="D55" s="79" t="s">
        <v>212</v>
      </c>
      <c r="E55" s="80" t="s">
        <v>760</v>
      </c>
      <c r="F55" s="79" t="s">
        <v>761</v>
      </c>
      <c r="G55" s="79" t="s">
        <v>36</v>
      </c>
      <c r="H55" s="81" t="s">
        <v>528</v>
      </c>
      <c r="I55" s="79" t="s">
        <v>762</v>
      </c>
      <c r="J55" s="79" t="s">
        <v>530</v>
      </c>
      <c r="K55" s="79" t="s">
        <v>731</v>
      </c>
      <c r="L55" s="13" t="s">
        <v>45</v>
      </c>
      <c r="M55" s="81" t="s">
        <v>732</v>
      </c>
      <c r="N55" s="81" t="s">
        <v>533</v>
      </c>
      <c r="O55" s="82">
        <v>45683</v>
      </c>
      <c r="P55" s="102">
        <v>45694</v>
      </c>
      <c r="Q55" s="105"/>
      <c r="R55" s="81"/>
      <c r="S55" s="141" t="s">
        <v>763</v>
      </c>
      <c r="T55" s="142" t="s">
        <v>764</v>
      </c>
    </row>
    <row r="56" spans="1:20" ht="99.95" customHeight="1">
      <c r="A56" s="78" t="s">
        <v>526</v>
      </c>
      <c r="B56" s="79" t="s">
        <v>210</v>
      </c>
      <c r="C56" s="79" t="s">
        <v>211</v>
      </c>
      <c r="D56" s="79" t="s">
        <v>212</v>
      </c>
      <c r="E56" s="80" t="s">
        <v>765</v>
      </c>
      <c r="F56" s="79" t="s">
        <v>766</v>
      </c>
      <c r="G56" s="79" t="s">
        <v>36</v>
      </c>
      <c r="H56" s="81" t="s">
        <v>528</v>
      </c>
      <c r="I56" s="79" t="s">
        <v>767</v>
      </c>
      <c r="J56" s="79" t="s">
        <v>530</v>
      </c>
      <c r="K56" s="79" t="s">
        <v>731</v>
      </c>
      <c r="L56" s="13" t="s">
        <v>45</v>
      </c>
      <c r="M56" s="81" t="s">
        <v>732</v>
      </c>
      <c r="N56" s="81" t="s">
        <v>533</v>
      </c>
      <c r="O56" s="82">
        <v>45683</v>
      </c>
      <c r="P56" s="102">
        <v>45694</v>
      </c>
      <c r="Q56" s="105"/>
      <c r="R56" s="81"/>
      <c r="S56" s="141" t="s">
        <v>768</v>
      </c>
      <c r="T56" s="142" t="s">
        <v>769</v>
      </c>
    </row>
    <row r="57" spans="1:20" ht="99.95" customHeight="1">
      <c r="A57" s="78" t="s">
        <v>526</v>
      </c>
      <c r="B57" s="79" t="s">
        <v>210</v>
      </c>
      <c r="C57" s="79" t="s">
        <v>211</v>
      </c>
      <c r="D57" s="79" t="s">
        <v>212</v>
      </c>
      <c r="E57" s="80" t="s">
        <v>770</v>
      </c>
      <c r="F57" s="79" t="s">
        <v>771</v>
      </c>
      <c r="G57" s="79" t="s">
        <v>36</v>
      </c>
      <c r="H57" s="81" t="s">
        <v>528</v>
      </c>
      <c r="I57" s="79" t="s">
        <v>772</v>
      </c>
      <c r="J57" s="79" t="s">
        <v>530</v>
      </c>
      <c r="K57" s="79" t="s">
        <v>731</v>
      </c>
      <c r="L57" s="13" t="s">
        <v>45</v>
      </c>
      <c r="M57" s="81" t="s">
        <v>732</v>
      </c>
      <c r="N57" s="81" t="s">
        <v>533</v>
      </c>
      <c r="O57" s="82">
        <v>45683</v>
      </c>
      <c r="P57" s="102">
        <v>45694</v>
      </c>
      <c r="Q57" s="105"/>
      <c r="R57" s="81"/>
      <c r="S57" s="141" t="s">
        <v>773</v>
      </c>
      <c r="T57" s="142" t="s">
        <v>774</v>
      </c>
    </row>
    <row r="58" spans="1:20" ht="99.95" customHeight="1">
      <c r="A58" s="78" t="s">
        <v>526</v>
      </c>
      <c r="B58" s="79" t="s">
        <v>210</v>
      </c>
      <c r="C58" s="79" t="s">
        <v>211</v>
      </c>
      <c r="D58" s="79" t="s">
        <v>212</v>
      </c>
      <c r="E58" s="80" t="s">
        <v>775</v>
      </c>
      <c r="F58" s="79" t="s">
        <v>776</v>
      </c>
      <c r="G58" s="79" t="s">
        <v>36</v>
      </c>
      <c r="H58" s="81" t="s">
        <v>528</v>
      </c>
      <c r="I58" s="79" t="s">
        <v>777</v>
      </c>
      <c r="J58" s="79" t="s">
        <v>530</v>
      </c>
      <c r="K58" s="79" t="s">
        <v>731</v>
      </c>
      <c r="L58" s="13" t="s">
        <v>45</v>
      </c>
      <c r="M58" s="81" t="s">
        <v>732</v>
      </c>
      <c r="N58" s="81" t="s">
        <v>533</v>
      </c>
      <c r="O58" s="82">
        <v>45683</v>
      </c>
      <c r="P58" s="102">
        <v>45694</v>
      </c>
      <c r="Q58" s="105"/>
      <c r="R58" s="81"/>
      <c r="S58" s="141" t="s">
        <v>778</v>
      </c>
      <c r="T58" s="142" t="s">
        <v>779</v>
      </c>
    </row>
    <row r="59" spans="1:20" ht="99.95" customHeight="1">
      <c r="A59" s="78" t="s">
        <v>526</v>
      </c>
      <c r="B59" s="79" t="s">
        <v>210</v>
      </c>
      <c r="C59" s="79" t="s">
        <v>211</v>
      </c>
      <c r="D59" s="79" t="s">
        <v>212</v>
      </c>
      <c r="E59" s="80" t="s">
        <v>780</v>
      </c>
      <c r="F59" s="79" t="s">
        <v>781</v>
      </c>
      <c r="G59" s="79" t="s">
        <v>36</v>
      </c>
      <c r="H59" s="81" t="s">
        <v>528</v>
      </c>
      <c r="I59" s="79" t="s">
        <v>782</v>
      </c>
      <c r="J59" s="79" t="s">
        <v>530</v>
      </c>
      <c r="K59" s="79" t="s">
        <v>731</v>
      </c>
      <c r="L59" s="13" t="s">
        <v>45</v>
      </c>
      <c r="M59" s="81" t="s">
        <v>732</v>
      </c>
      <c r="N59" s="81" t="s">
        <v>533</v>
      </c>
      <c r="O59" s="82">
        <v>45683</v>
      </c>
      <c r="P59" s="102">
        <v>45694</v>
      </c>
      <c r="Q59" s="105"/>
      <c r="R59" s="81"/>
      <c r="S59" s="141" t="s">
        <v>783</v>
      </c>
      <c r="T59" s="142" t="s">
        <v>784</v>
      </c>
    </row>
    <row r="60" spans="1:20" ht="99.95" customHeight="1">
      <c r="A60" s="78" t="s">
        <v>526</v>
      </c>
      <c r="B60" s="79" t="s">
        <v>210</v>
      </c>
      <c r="C60" s="79" t="s">
        <v>211</v>
      </c>
      <c r="D60" s="79" t="s">
        <v>212</v>
      </c>
      <c r="E60" s="80" t="s">
        <v>785</v>
      </c>
      <c r="F60" s="79" t="s">
        <v>786</v>
      </c>
      <c r="G60" s="79" t="s">
        <v>36</v>
      </c>
      <c r="H60" s="81" t="s">
        <v>528</v>
      </c>
      <c r="I60" s="79" t="s">
        <v>782</v>
      </c>
      <c r="J60" s="79" t="s">
        <v>530</v>
      </c>
      <c r="K60" s="79" t="s">
        <v>731</v>
      </c>
      <c r="L60" s="13" t="s">
        <v>45</v>
      </c>
      <c r="M60" s="81" t="s">
        <v>732</v>
      </c>
      <c r="N60" s="81" t="s">
        <v>533</v>
      </c>
      <c r="O60" s="82">
        <v>45683</v>
      </c>
      <c r="P60" s="102">
        <v>45694</v>
      </c>
      <c r="Q60" s="105"/>
      <c r="R60" s="81"/>
      <c r="S60" s="141" t="s">
        <v>787</v>
      </c>
      <c r="T60" s="142" t="s">
        <v>788</v>
      </c>
    </row>
    <row r="61" spans="1:20" ht="99.95" customHeight="1">
      <c r="A61" s="78" t="s">
        <v>526</v>
      </c>
      <c r="B61" s="79" t="s">
        <v>210</v>
      </c>
      <c r="C61" s="79" t="s">
        <v>211</v>
      </c>
      <c r="D61" s="79" t="s">
        <v>212</v>
      </c>
      <c r="E61" s="80" t="s">
        <v>789</v>
      </c>
      <c r="F61" s="79" t="s">
        <v>790</v>
      </c>
      <c r="G61" s="79" t="s">
        <v>36</v>
      </c>
      <c r="H61" s="81" t="s">
        <v>528</v>
      </c>
      <c r="I61" s="79" t="s">
        <v>782</v>
      </c>
      <c r="J61" s="79" t="s">
        <v>530</v>
      </c>
      <c r="K61" s="79" t="s">
        <v>731</v>
      </c>
      <c r="L61" s="13" t="s">
        <v>45</v>
      </c>
      <c r="M61" s="81" t="s">
        <v>732</v>
      </c>
      <c r="N61" s="81" t="s">
        <v>533</v>
      </c>
      <c r="O61" s="82">
        <v>45683</v>
      </c>
      <c r="P61" s="102">
        <v>45694</v>
      </c>
      <c r="Q61" s="105"/>
      <c r="R61" s="81"/>
      <c r="S61" s="141" t="s">
        <v>791</v>
      </c>
      <c r="T61" s="142" t="s">
        <v>792</v>
      </c>
    </row>
    <row r="62" spans="1:20" ht="99.95" customHeight="1">
      <c r="A62" s="78" t="s">
        <v>526</v>
      </c>
      <c r="B62" s="79" t="s">
        <v>210</v>
      </c>
      <c r="C62" s="79" t="s">
        <v>211</v>
      </c>
      <c r="D62" s="79" t="s">
        <v>212</v>
      </c>
      <c r="E62" s="80" t="s">
        <v>793</v>
      </c>
      <c r="F62" s="79" t="s">
        <v>794</v>
      </c>
      <c r="G62" s="79" t="s">
        <v>36</v>
      </c>
      <c r="H62" s="81" t="s">
        <v>528</v>
      </c>
      <c r="I62" s="79" t="s">
        <v>795</v>
      </c>
      <c r="J62" s="79" t="s">
        <v>530</v>
      </c>
      <c r="K62" s="79" t="s">
        <v>731</v>
      </c>
      <c r="L62" s="13" t="s">
        <v>45</v>
      </c>
      <c r="M62" s="81" t="s">
        <v>732</v>
      </c>
      <c r="N62" s="81" t="s">
        <v>533</v>
      </c>
      <c r="O62" s="82">
        <v>45683</v>
      </c>
      <c r="P62" s="102">
        <v>45694</v>
      </c>
      <c r="Q62" s="105"/>
      <c r="R62" s="81"/>
      <c r="S62" s="141" t="s">
        <v>796</v>
      </c>
      <c r="T62" s="142" t="s">
        <v>797</v>
      </c>
    </row>
    <row r="63" spans="1:20" ht="99.95" customHeight="1">
      <c r="A63" s="78" t="s">
        <v>526</v>
      </c>
      <c r="B63" s="79" t="s">
        <v>210</v>
      </c>
      <c r="C63" s="79" t="s">
        <v>211</v>
      </c>
      <c r="D63" s="79" t="s">
        <v>212</v>
      </c>
      <c r="E63" s="80" t="s">
        <v>798</v>
      </c>
      <c r="F63" s="79" t="s">
        <v>799</v>
      </c>
      <c r="G63" s="79" t="s">
        <v>36</v>
      </c>
      <c r="H63" s="81" t="s">
        <v>528</v>
      </c>
      <c r="I63" s="79" t="s">
        <v>800</v>
      </c>
      <c r="J63" s="79" t="s">
        <v>530</v>
      </c>
      <c r="K63" s="79" t="s">
        <v>731</v>
      </c>
      <c r="L63" s="13" t="s">
        <v>45</v>
      </c>
      <c r="M63" s="81" t="s">
        <v>732</v>
      </c>
      <c r="N63" s="81" t="s">
        <v>533</v>
      </c>
      <c r="O63" s="82">
        <v>45683</v>
      </c>
      <c r="P63" s="102">
        <v>45694</v>
      </c>
      <c r="Q63" s="105"/>
      <c r="R63" s="81"/>
      <c r="S63" s="25" t="s">
        <v>801</v>
      </c>
      <c r="T63" s="145" t="s">
        <v>802</v>
      </c>
    </row>
    <row r="64" spans="1:20" ht="99.95" customHeight="1">
      <c r="A64" s="78" t="s">
        <v>526</v>
      </c>
      <c r="B64" s="79" t="s">
        <v>210</v>
      </c>
      <c r="C64" s="79" t="s">
        <v>211</v>
      </c>
      <c r="D64" s="79" t="s">
        <v>212</v>
      </c>
      <c r="E64" s="80" t="s">
        <v>803</v>
      </c>
      <c r="F64" s="79" t="s">
        <v>804</v>
      </c>
      <c r="G64" s="79" t="s">
        <v>36</v>
      </c>
      <c r="H64" s="81" t="s">
        <v>528</v>
      </c>
      <c r="I64" s="79" t="s">
        <v>805</v>
      </c>
      <c r="J64" s="79" t="s">
        <v>530</v>
      </c>
      <c r="K64" s="79" t="s">
        <v>731</v>
      </c>
      <c r="L64" s="13" t="s">
        <v>45</v>
      </c>
      <c r="M64" s="81" t="s">
        <v>732</v>
      </c>
      <c r="N64" s="81" t="s">
        <v>533</v>
      </c>
      <c r="O64" s="82">
        <v>45683</v>
      </c>
      <c r="P64" s="102">
        <v>45694</v>
      </c>
      <c r="Q64" s="105"/>
      <c r="R64" s="81"/>
      <c r="S64" s="141" t="s">
        <v>582</v>
      </c>
      <c r="T64" s="143" t="s">
        <v>582</v>
      </c>
    </row>
    <row r="65" spans="1:20" ht="99.95" customHeight="1">
      <c r="A65" s="78" t="s">
        <v>526</v>
      </c>
      <c r="B65" s="79" t="s">
        <v>210</v>
      </c>
      <c r="C65" s="79" t="s">
        <v>211</v>
      </c>
      <c r="D65" s="79" t="s">
        <v>212</v>
      </c>
      <c r="E65" s="80" t="s">
        <v>806</v>
      </c>
      <c r="F65" s="79" t="s">
        <v>807</v>
      </c>
      <c r="G65" s="79" t="s">
        <v>36</v>
      </c>
      <c r="H65" s="81" t="s">
        <v>528</v>
      </c>
      <c r="I65" s="79" t="s">
        <v>808</v>
      </c>
      <c r="J65" s="79" t="s">
        <v>585</v>
      </c>
      <c r="K65" s="79" t="s">
        <v>809</v>
      </c>
      <c r="L65" s="13" t="s">
        <v>45</v>
      </c>
      <c r="M65" s="81" t="s">
        <v>732</v>
      </c>
      <c r="N65" s="81" t="s">
        <v>533</v>
      </c>
      <c r="O65" s="82">
        <v>45683</v>
      </c>
      <c r="P65" s="102">
        <v>45694</v>
      </c>
      <c r="Q65" s="105"/>
      <c r="R65" s="81"/>
      <c r="S65" s="141" t="s">
        <v>810</v>
      </c>
      <c r="T65" s="142" t="s">
        <v>811</v>
      </c>
    </row>
    <row r="66" spans="1:20" ht="99.95" customHeight="1">
      <c r="A66" s="78" t="s">
        <v>526</v>
      </c>
      <c r="B66" s="79" t="s">
        <v>210</v>
      </c>
      <c r="C66" s="79" t="s">
        <v>211</v>
      </c>
      <c r="D66" s="79" t="s">
        <v>212</v>
      </c>
      <c r="E66" s="80" t="s">
        <v>812</v>
      </c>
      <c r="F66" s="79" t="s">
        <v>813</v>
      </c>
      <c r="G66" s="79" t="s">
        <v>36</v>
      </c>
      <c r="H66" s="81" t="s">
        <v>528</v>
      </c>
      <c r="I66" s="79" t="s">
        <v>814</v>
      </c>
      <c r="J66" s="79" t="s">
        <v>530</v>
      </c>
      <c r="K66" s="79" t="s">
        <v>731</v>
      </c>
      <c r="L66" s="13" t="s">
        <v>45</v>
      </c>
      <c r="M66" s="81" t="s">
        <v>732</v>
      </c>
      <c r="N66" s="81" t="s">
        <v>533</v>
      </c>
      <c r="O66" s="82">
        <v>45683</v>
      </c>
      <c r="P66" s="102">
        <v>45694</v>
      </c>
      <c r="Q66" s="105"/>
      <c r="R66" s="81"/>
      <c r="S66" s="141" t="s">
        <v>815</v>
      </c>
      <c r="T66" s="142" t="s">
        <v>816</v>
      </c>
    </row>
    <row r="67" spans="1:20" ht="99.95" customHeight="1">
      <c r="A67" s="78" t="s">
        <v>526</v>
      </c>
      <c r="B67" s="79" t="s">
        <v>210</v>
      </c>
      <c r="C67" s="79" t="s">
        <v>211</v>
      </c>
      <c r="D67" s="79" t="s">
        <v>212</v>
      </c>
      <c r="E67" s="80" t="s">
        <v>817</v>
      </c>
      <c r="F67" s="79" t="s">
        <v>818</v>
      </c>
      <c r="G67" s="79" t="s">
        <v>36</v>
      </c>
      <c r="H67" s="81" t="s">
        <v>528</v>
      </c>
      <c r="I67" s="79" t="s">
        <v>814</v>
      </c>
      <c r="J67" s="79" t="s">
        <v>530</v>
      </c>
      <c r="K67" s="79" t="s">
        <v>731</v>
      </c>
      <c r="L67" s="13" t="s">
        <v>45</v>
      </c>
      <c r="M67" s="81" t="s">
        <v>732</v>
      </c>
      <c r="N67" s="81" t="s">
        <v>533</v>
      </c>
      <c r="O67" s="82">
        <v>45683</v>
      </c>
      <c r="P67" s="102">
        <v>45694</v>
      </c>
      <c r="Q67" s="105"/>
      <c r="R67" s="81"/>
      <c r="S67" s="141" t="s">
        <v>819</v>
      </c>
      <c r="T67" s="142" t="s">
        <v>820</v>
      </c>
    </row>
    <row r="68" spans="1:20" ht="99.95" customHeight="1">
      <c r="A68" s="78" t="s">
        <v>526</v>
      </c>
      <c r="B68" s="79" t="s">
        <v>210</v>
      </c>
      <c r="C68" s="79" t="s">
        <v>211</v>
      </c>
      <c r="D68" s="79" t="s">
        <v>212</v>
      </c>
      <c r="E68" s="80" t="s">
        <v>821</v>
      </c>
      <c r="F68" s="79" t="s">
        <v>822</v>
      </c>
      <c r="G68" s="79" t="s">
        <v>36</v>
      </c>
      <c r="H68" s="81" t="s">
        <v>528</v>
      </c>
      <c r="I68" s="79" t="s">
        <v>823</v>
      </c>
      <c r="J68" s="79" t="s">
        <v>530</v>
      </c>
      <c r="K68" s="79" t="s">
        <v>731</v>
      </c>
      <c r="L68" s="13" t="s">
        <v>45</v>
      </c>
      <c r="M68" s="81" t="s">
        <v>732</v>
      </c>
      <c r="N68" s="81" t="s">
        <v>533</v>
      </c>
      <c r="O68" s="82">
        <v>45683</v>
      </c>
      <c r="P68" s="102">
        <v>45694</v>
      </c>
      <c r="Q68" s="105"/>
      <c r="R68" s="81"/>
      <c r="S68" s="141" t="s">
        <v>824</v>
      </c>
      <c r="T68" s="142" t="s">
        <v>825</v>
      </c>
    </row>
    <row r="69" spans="1:20" ht="99.95" customHeight="1">
      <c r="A69" s="78" t="s">
        <v>526</v>
      </c>
      <c r="B69" s="79" t="s">
        <v>210</v>
      </c>
      <c r="C69" s="79" t="s">
        <v>211</v>
      </c>
      <c r="D69" s="79" t="s">
        <v>212</v>
      </c>
      <c r="E69" s="80" t="s">
        <v>826</v>
      </c>
      <c r="F69" s="79" t="s">
        <v>827</v>
      </c>
      <c r="G69" s="79" t="s">
        <v>36</v>
      </c>
      <c r="H69" s="81" t="s">
        <v>528</v>
      </c>
      <c r="I69" s="79" t="s">
        <v>762</v>
      </c>
      <c r="J69" s="79" t="s">
        <v>530</v>
      </c>
      <c r="K69" s="79" t="s">
        <v>731</v>
      </c>
      <c r="L69" s="13" t="s">
        <v>45</v>
      </c>
      <c r="M69" s="81" t="s">
        <v>732</v>
      </c>
      <c r="N69" s="81" t="s">
        <v>533</v>
      </c>
      <c r="O69" s="82">
        <v>45683</v>
      </c>
      <c r="P69" s="102">
        <v>45694</v>
      </c>
      <c r="Q69" s="105"/>
      <c r="R69" s="81"/>
      <c r="S69" s="141" t="s">
        <v>828</v>
      </c>
      <c r="T69" s="142" t="s">
        <v>829</v>
      </c>
    </row>
    <row r="70" spans="1:20" ht="99.95" customHeight="1">
      <c r="A70" s="78" t="s">
        <v>526</v>
      </c>
      <c r="B70" s="79" t="s">
        <v>210</v>
      </c>
      <c r="C70" s="79" t="s">
        <v>211</v>
      </c>
      <c r="D70" s="79" t="s">
        <v>212</v>
      </c>
      <c r="E70" s="80" t="s">
        <v>830</v>
      </c>
      <c r="F70" s="79" t="s">
        <v>831</v>
      </c>
      <c r="G70" s="79" t="s">
        <v>36</v>
      </c>
      <c r="H70" s="81" t="s">
        <v>528</v>
      </c>
      <c r="I70" s="79" t="s">
        <v>762</v>
      </c>
      <c r="J70" s="79" t="s">
        <v>530</v>
      </c>
      <c r="K70" s="79" t="s">
        <v>731</v>
      </c>
      <c r="L70" s="13" t="s">
        <v>45</v>
      </c>
      <c r="M70" s="81" t="s">
        <v>732</v>
      </c>
      <c r="N70" s="81" t="s">
        <v>533</v>
      </c>
      <c r="O70" s="82">
        <v>45683</v>
      </c>
      <c r="P70" s="102">
        <v>45694</v>
      </c>
      <c r="Q70" s="105"/>
      <c r="R70" s="81"/>
      <c r="S70" s="141" t="s">
        <v>832</v>
      </c>
      <c r="T70" s="142" t="s">
        <v>833</v>
      </c>
    </row>
    <row r="71" spans="1:20" ht="99.95" customHeight="1">
      <c r="A71" s="78" t="s">
        <v>526</v>
      </c>
      <c r="B71" s="79" t="s">
        <v>210</v>
      </c>
      <c r="C71" s="79" t="s">
        <v>211</v>
      </c>
      <c r="D71" s="79" t="s">
        <v>212</v>
      </c>
      <c r="E71" s="80" t="s">
        <v>834</v>
      </c>
      <c r="F71" s="79" t="s">
        <v>835</v>
      </c>
      <c r="G71" s="79" t="s">
        <v>36</v>
      </c>
      <c r="H71" s="81" t="s">
        <v>528</v>
      </c>
      <c r="I71" s="79" t="s">
        <v>836</v>
      </c>
      <c r="J71" s="79" t="s">
        <v>530</v>
      </c>
      <c r="K71" s="79" t="s">
        <v>731</v>
      </c>
      <c r="L71" s="13" t="s">
        <v>45</v>
      </c>
      <c r="M71" s="81" t="s">
        <v>732</v>
      </c>
      <c r="N71" s="81" t="s">
        <v>533</v>
      </c>
      <c r="O71" s="82">
        <v>45683</v>
      </c>
      <c r="P71" s="102">
        <v>45694</v>
      </c>
      <c r="Q71" s="105"/>
      <c r="R71" s="81"/>
      <c r="S71" s="141" t="s">
        <v>837</v>
      </c>
      <c r="T71" s="142" t="s">
        <v>838</v>
      </c>
    </row>
    <row r="72" spans="1:20" ht="99.95" customHeight="1">
      <c r="A72" s="78" t="s">
        <v>526</v>
      </c>
      <c r="B72" s="79" t="s">
        <v>210</v>
      </c>
      <c r="C72" s="79" t="s">
        <v>211</v>
      </c>
      <c r="D72" s="79" t="s">
        <v>212</v>
      </c>
      <c r="E72" s="80" t="s">
        <v>839</v>
      </c>
      <c r="F72" s="79" t="s">
        <v>840</v>
      </c>
      <c r="G72" s="79" t="s">
        <v>36</v>
      </c>
      <c r="H72" s="81" t="s">
        <v>528</v>
      </c>
      <c r="I72" s="79" t="s">
        <v>841</v>
      </c>
      <c r="J72" s="79" t="s">
        <v>530</v>
      </c>
      <c r="K72" s="79" t="s">
        <v>731</v>
      </c>
      <c r="L72" s="13" t="s">
        <v>45</v>
      </c>
      <c r="M72" s="81" t="s">
        <v>732</v>
      </c>
      <c r="N72" s="81" t="s">
        <v>533</v>
      </c>
      <c r="O72" s="82">
        <v>45683</v>
      </c>
      <c r="P72" s="102">
        <v>45694</v>
      </c>
      <c r="Q72" s="105"/>
      <c r="R72" s="81"/>
      <c r="S72" s="25" t="s">
        <v>842</v>
      </c>
      <c r="T72" s="145" t="s">
        <v>843</v>
      </c>
    </row>
    <row r="73" spans="1:20" ht="99.95" customHeight="1">
      <c r="A73" s="78" t="s">
        <v>526</v>
      </c>
      <c r="B73" s="79" t="s">
        <v>210</v>
      </c>
      <c r="C73" s="79" t="s">
        <v>211</v>
      </c>
      <c r="D73" s="79" t="s">
        <v>212</v>
      </c>
      <c r="E73" s="80" t="s">
        <v>844</v>
      </c>
      <c r="F73" s="79" t="s">
        <v>845</v>
      </c>
      <c r="G73" s="79" t="s">
        <v>36</v>
      </c>
      <c r="H73" s="81" t="s">
        <v>528</v>
      </c>
      <c r="I73" s="79" t="s">
        <v>846</v>
      </c>
      <c r="J73" s="79" t="s">
        <v>530</v>
      </c>
      <c r="K73" s="79" t="s">
        <v>731</v>
      </c>
      <c r="L73" s="13" t="s">
        <v>45</v>
      </c>
      <c r="M73" s="81" t="s">
        <v>732</v>
      </c>
      <c r="N73" s="81" t="s">
        <v>533</v>
      </c>
      <c r="O73" s="82">
        <v>45683</v>
      </c>
      <c r="P73" s="102">
        <v>45694</v>
      </c>
      <c r="Q73" s="105"/>
      <c r="R73" s="81"/>
      <c r="S73" s="141" t="s">
        <v>582</v>
      </c>
      <c r="T73" s="143" t="s">
        <v>582</v>
      </c>
    </row>
    <row r="74" spans="1:20" ht="99.95" customHeight="1">
      <c r="A74" s="78" t="s">
        <v>526</v>
      </c>
      <c r="B74" s="79" t="s">
        <v>210</v>
      </c>
      <c r="C74" s="79" t="s">
        <v>211</v>
      </c>
      <c r="D74" s="79" t="s">
        <v>212</v>
      </c>
      <c r="E74" s="80" t="s">
        <v>847</v>
      </c>
      <c r="F74" s="79" t="s">
        <v>848</v>
      </c>
      <c r="G74" s="79" t="s">
        <v>36</v>
      </c>
      <c r="H74" s="81" t="s">
        <v>528</v>
      </c>
      <c r="I74" s="79" t="s">
        <v>849</v>
      </c>
      <c r="J74" s="79" t="s">
        <v>585</v>
      </c>
      <c r="K74" s="79" t="s">
        <v>809</v>
      </c>
      <c r="L74" s="13" t="s">
        <v>45</v>
      </c>
      <c r="M74" s="81" t="s">
        <v>732</v>
      </c>
      <c r="N74" s="81" t="s">
        <v>533</v>
      </c>
      <c r="O74" s="82">
        <v>45683</v>
      </c>
      <c r="P74" s="102">
        <v>45694</v>
      </c>
      <c r="Q74" s="105"/>
      <c r="R74" s="81"/>
      <c r="S74" s="141" t="s">
        <v>832</v>
      </c>
      <c r="T74" s="142" t="s">
        <v>833</v>
      </c>
    </row>
    <row r="75" spans="1:20" ht="99.95" customHeight="1">
      <c r="A75" s="78" t="s">
        <v>526</v>
      </c>
      <c r="B75" s="79" t="s">
        <v>210</v>
      </c>
      <c r="C75" s="79" t="s">
        <v>211</v>
      </c>
      <c r="D75" s="79" t="s">
        <v>212</v>
      </c>
      <c r="E75" s="80" t="s">
        <v>850</v>
      </c>
      <c r="F75" s="79" t="s">
        <v>851</v>
      </c>
      <c r="G75" s="79" t="s">
        <v>36</v>
      </c>
      <c r="H75" s="81" t="s">
        <v>528</v>
      </c>
      <c r="I75" s="79" t="s">
        <v>772</v>
      </c>
      <c r="J75" s="79" t="s">
        <v>530</v>
      </c>
      <c r="K75" s="79" t="s">
        <v>731</v>
      </c>
      <c r="L75" s="13" t="s">
        <v>45</v>
      </c>
      <c r="M75" s="81" t="s">
        <v>732</v>
      </c>
      <c r="N75" s="81" t="s">
        <v>533</v>
      </c>
      <c r="O75" s="82">
        <v>45683</v>
      </c>
      <c r="P75" s="102">
        <v>45694</v>
      </c>
      <c r="Q75" s="105"/>
      <c r="R75" s="81"/>
      <c r="S75" s="25" t="s">
        <v>852</v>
      </c>
      <c r="T75" s="145" t="s">
        <v>853</v>
      </c>
    </row>
    <row r="76" spans="1:20" ht="99.95" customHeight="1">
      <c r="A76" s="78" t="s">
        <v>526</v>
      </c>
      <c r="B76" s="79" t="s">
        <v>210</v>
      </c>
      <c r="C76" s="79" t="s">
        <v>211</v>
      </c>
      <c r="D76" s="79" t="s">
        <v>212</v>
      </c>
      <c r="E76" s="80" t="s">
        <v>854</v>
      </c>
      <c r="F76" s="79" t="s">
        <v>855</v>
      </c>
      <c r="G76" s="79" t="s">
        <v>36</v>
      </c>
      <c r="H76" s="81" t="s">
        <v>528</v>
      </c>
      <c r="I76" s="79" t="s">
        <v>772</v>
      </c>
      <c r="J76" s="79" t="s">
        <v>530</v>
      </c>
      <c r="K76" s="79" t="s">
        <v>731</v>
      </c>
      <c r="L76" s="13" t="s">
        <v>45</v>
      </c>
      <c r="M76" s="81" t="s">
        <v>732</v>
      </c>
      <c r="N76" s="81" t="s">
        <v>533</v>
      </c>
      <c r="O76" s="82">
        <v>45683</v>
      </c>
      <c r="P76" s="102">
        <v>45694</v>
      </c>
      <c r="Q76" s="105"/>
      <c r="R76" s="81"/>
      <c r="S76" s="25" t="s">
        <v>856</v>
      </c>
      <c r="T76" s="145" t="s">
        <v>857</v>
      </c>
    </row>
    <row r="77" spans="1:20" ht="99.95" customHeight="1">
      <c r="A77" s="78" t="s">
        <v>526</v>
      </c>
      <c r="B77" s="79" t="s">
        <v>210</v>
      </c>
      <c r="C77" s="79" t="s">
        <v>211</v>
      </c>
      <c r="D77" s="79" t="s">
        <v>212</v>
      </c>
      <c r="E77" s="80" t="s">
        <v>858</v>
      </c>
      <c r="F77" s="79" t="s">
        <v>859</v>
      </c>
      <c r="G77" s="79" t="s">
        <v>36</v>
      </c>
      <c r="H77" s="81" t="s">
        <v>528</v>
      </c>
      <c r="I77" s="79" t="s">
        <v>860</v>
      </c>
      <c r="J77" s="79" t="s">
        <v>530</v>
      </c>
      <c r="K77" s="79" t="s">
        <v>731</v>
      </c>
      <c r="L77" s="13" t="s">
        <v>45</v>
      </c>
      <c r="M77" s="81" t="s">
        <v>732</v>
      </c>
      <c r="N77" s="81" t="s">
        <v>533</v>
      </c>
      <c r="O77" s="82">
        <v>45683</v>
      </c>
      <c r="P77" s="102">
        <v>45694</v>
      </c>
      <c r="Q77" s="105"/>
      <c r="R77" s="81"/>
      <c r="S77" s="141" t="s">
        <v>861</v>
      </c>
      <c r="T77" s="142" t="s">
        <v>861</v>
      </c>
    </row>
    <row r="78" spans="1:20" ht="99.95" customHeight="1">
      <c r="A78" s="78" t="s">
        <v>526</v>
      </c>
      <c r="B78" s="79" t="s">
        <v>210</v>
      </c>
      <c r="C78" s="79" t="s">
        <v>211</v>
      </c>
      <c r="D78" s="79" t="s">
        <v>212</v>
      </c>
      <c r="E78" s="80" t="s">
        <v>862</v>
      </c>
      <c r="F78" s="79" t="s">
        <v>863</v>
      </c>
      <c r="G78" s="79" t="s">
        <v>36</v>
      </c>
      <c r="H78" s="81" t="s">
        <v>528</v>
      </c>
      <c r="I78" s="79" t="s">
        <v>864</v>
      </c>
      <c r="J78" s="79" t="s">
        <v>530</v>
      </c>
      <c r="K78" s="79" t="s">
        <v>731</v>
      </c>
      <c r="L78" s="13" t="s">
        <v>45</v>
      </c>
      <c r="M78" s="81" t="s">
        <v>732</v>
      </c>
      <c r="N78" s="81" t="s">
        <v>533</v>
      </c>
      <c r="O78" s="82">
        <v>45683</v>
      </c>
      <c r="P78" s="102">
        <v>45694</v>
      </c>
      <c r="Q78" s="105"/>
      <c r="R78" s="81"/>
      <c r="S78" s="25" t="s">
        <v>865</v>
      </c>
      <c r="T78" s="145" t="s">
        <v>866</v>
      </c>
    </row>
    <row r="79" spans="1:20" ht="99.95" customHeight="1">
      <c r="A79" s="78" t="s">
        <v>526</v>
      </c>
      <c r="B79" s="79" t="s">
        <v>210</v>
      </c>
      <c r="C79" s="79" t="s">
        <v>211</v>
      </c>
      <c r="D79" s="79" t="s">
        <v>212</v>
      </c>
      <c r="E79" s="80" t="s">
        <v>867</v>
      </c>
      <c r="F79" s="79" t="s">
        <v>868</v>
      </c>
      <c r="G79" s="79" t="s">
        <v>36</v>
      </c>
      <c r="H79" s="81" t="s">
        <v>528</v>
      </c>
      <c r="I79" s="79" t="s">
        <v>869</v>
      </c>
      <c r="J79" s="79" t="s">
        <v>530</v>
      </c>
      <c r="K79" s="79" t="s">
        <v>731</v>
      </c>
      <c r="L79" s="13" t="s">
        <v>45</v>
      </c>
      <c r="M79" s="81" t="s">
        <v>732</v>
      </c>
      <c r="N79" s="81" t="s">
        <v>533</v>
      </c>
      <c r="O79" s="82">
        <v>45683</v>
      </c>
      <c r="P79" s="102">
        <v>45694</v>
      </c>
      <c r="Q79" s="105"/>
      <c r="R79" s="81"/>
      <c r="S79" s="143" t="s">
        <v>582</v>
      </c>
      <c r="T79" s="143" t="s">
        <v>582</v>
      </c>
    </row>
    <row r="80" spans="1:20" ht="99.95" customHeight="1">
      <c r="A80" s="78" t="s">
        <v>526</v>
      </c>
      <c r="B80" s="79" t="s">
        <v>210</v>
      </c>
      <c r="C80" s="79" t="s">
        <v>211</v>
      </c>
      <c r="D80" s="79" t="s">
        <v>212</v>
      </c>
      <c r="E80" s="80" t="s">
        <v>870</v>
      </c>
      <c r="F80" s="79" t="s">
        <v>871</v>
      </c>
      <c r="G80" s="79" t="s">
        <v>36</v>
      </c>
      <c r="H80" s="81" t="s">
        <v>528</v>
      </c>
      <c r="I80" s="79" t="s">
        <v>872</v>
      </c>
      <c r="J80" s="79" t="s">
        <v>585</v>
      </c>
      <c r="K80" s="79" t="s">
        <v>809</v>
      </c>
      <c r="L80" s="13" t="s">
        <v>45</v>
      </c>
      <c r="M80" s="81" t="s">
        <v>732</v>
      </c>
      <c r="N80" s="81" t="s">
        <v>533</v>
      </c>
      <c r="O80" s="82">
        <v>45683</v>
      </c>
      <c r="P80" s="102">
        <v>45694</v>
      </c>
      <c r="Q80" s="105"/>
      <c r="R80" s="81"/>
      <c r="S80" s="25" t="s">
        <v>856</v>
      </c>
      <c r="T80" s="145" t="s">
        <v>857</v>
      </c>
    </row>
    <row r="81" spans="1:20" ht="99.95" customHeight="1">
      <c r="A81" s="78" t="s">
        <v>526</v>
      </c>
      <c r="B81" s="79" t="s">
        <v>210</v>
      </c>
      <c r="C81" s="79" t="s">
        <v>211</v>
      </c>
      <c r="D81" s="79" t="s">
        <v>212</v>
      </c>
      <c r="E81" s="80" t="s">
        <v>873</v>
      </c>
      <c r="F81" s="79" t="s">
        <v>874</v>
      </c>
      <c r="G81" s="79" t="s">
        <v>36</v>
      </c>
      <c r="H81" s="81" t="s">
        <v>528</v>
      </c>
      <c r="I81" s="79" t="s">
        <v>875</v>
      </c>
      <c r="J81" s="79" t="s">
        <v>530</v>
      </c>
      <c r="K81" s="79" t="s">
        <v>731</v>
      </c>
      <c r="L81" s="13" t="s">
        <v>45</v>
      </c>
      <c r="M81" s="81" t="s">
        <v>732</v>
      </c>
      <c r="N81" s="81" t="s">
        <v>533</v>
      </c>
      <c r="O81" s="82">
        <v>45683</v>
      </c>
      <c r="P81" s="102">
        <v>45694</v>
      </c>
      <c r="Q81" s="105"/>
      <c r="R81" s="81"/>
      <c r="S81" s="141" t="s">
        <v>876</v>
      </c>
      <c r="T81" s="142" t="s">
        <v>877</v>
      </c>
    </row>
    <row r="82" spans="1:20" ht="99.95" customHeight="1">
      <c r="A82" s="78" t="s">
        <v>526</v>
      </c>
      <c r="B82" s="79" t="s">
        <v>210</v>
      </c>
      <c r="C82" s="79" t="s">
        <v>211</v>
      </c>
      <c r="D82" s="79" t="s">
        <v>212</v>
      </c>
      <c r="E82" s="80" t="s">
        <v>878</v>
      </c>
      <c r="F82" s="79" t="s">
        <v>879</v>
      </c>
      <c r="G82" s="79" t="s">
        <v>36</v>
      </c>
      <c r="H82" s="81" t="s">
        <v>528</v>
      </c>
      <c r="I82" s="79" t="s">
        <v>880</v>
      </c>
      <c r="J82" s="79" t="s">
        <v>530</v>
      </c>
      <c r="K82" s="79" t="s">
        <v>731</v>
      </c>
      <c r="L82" s="13" t="s">
        <v>45</v>
      </c>
      <c r="M82" s="81" t="s">
        <v>732</v>
      </c>
      <c r="N82" s="81" t="s">
        <v>533</v>
      </c>
      <c r="O82" s="82">
        <v>45683</v>
      </c>
      <c r="P82" s="102">
        <v>45694</v>
      </c>
      <c r="Q82" s="105"/>
      <c r="R82" s="81"/>
      <c r="S82" s="141" t="s">
        <v>758</v>
      </c>
      <c r="T82" s="142" t="s">
        <v>759</v>
      </c>
    </row>
    <row r="83" spans="1:20" ht="99.95" customHeight="1">
      <c r="A83" s="78" t="s">
        <v>526</v>
      </c>
      <c r="B83" s="79" t="s">
        <v>210</v>
      </c>
      <c r="C83" s="79" t="s">
        <v>211</v>
      </c>
      <c r="D83" s="79" t="s">
        <v>212</v>
      </c>
      <c r="E83" s="80" t="s">
        <v>881</v>
      </c>
      <c r="F83" s="79" t="s">
        <v>882</v>
      </c>
      <c r="G83" s="79" t="s">
        <v>36</v>
      </c>
      <c r="H83" s="81" t="s">
        <v>528</v>
      </c>
      <c r="I83" s="79" t="s">
        <v>883</v>
      </c>
      <c r="J83" s="79" t="s">
        <v>530</v>
      </c>
      <c r="K83" s="79" t="s">
        <v>731</v>
      </c>
      <c r="L83" s="13" t="s">
        <v>45</v>
      </c>
      <c r="M83" s="81" t="s">
        <v>732</v>
      </c>
      <c r="N83" s="81" t="s">
        <v>533</v>
      </c>
      <c r="O83" s="82">
        <v>45683</v>
      </c>
      <c r="P83" s="102">
        <v>45694</v>
      </c>
      <c r="Q83" s="105"/>
      <c r="R83" s="81"/>
      <c r="S83" s="141" t="s">
        <v>884</v>
      </c>
      <c r="T83" s="142" t="s">
        <v>885</v>
      </c>
    </row>
    <row r="84" spans="1:20" ht="99.95" customHeight="1">
      <c r="A84" s="78" t="s">
        <v>526</v>
      </c>
      <c r="B84" s="79" t="s">
        <v>210</v>
      </c>
      <c r="C84" s="79" t="s">
        <v>211</v>
      </c>
      <c r="D84" s="79" t="s">
        <v>212</v>
      </c>
      <c r="E84" s="80" t="s">
        <v>886</v>
      </c>
      <c r="F84" s="79" t="s">
        <v>887</v>
      </c>
      <c r="G84" s="79" t="s">
        <v>36</v>
      </c>
      <c r="H84" s="81" t="s">
        <v>528</v>
      </c>
      <c r="I84" s="79" t="s">
        <v>888</v>
      </c>
      <c r="J84" s="79" t="s">
        <v>530</v>
      </c>
      <c r="K84" s="79" t="s">
        <v>731</v>
      </c>
      <c r="L84" s="13" t="s">
        <v>45</v>
      </c>
      <c r="M84" s="81" t="s">
        <v>732</v>
      </c>
      <c r="N84" s="81" t="s">
        <v>533</v>
      </c>
      <c r="O84" s="82">
        <v>45683</v>
      </c>
      <c r="P84" s="102">
        <v>45694</v>
      </c>
      <c r="Q84" s="105"/>
      <c r="R84" s="81"/>
      <c r="S84" s="141" t="s">
        <v>889</v>
      </c>
      <c r="T84" s="142" t="s">
        <v>890</v>
      </c>
    </row>
    <row r="85" spans="1:20" ht="99.95" customHeight="1">
      <c r="A85" s="78" t="s">
        <v>526</v>
      </c>
      <c r="B85" s="79" t="s">
        <v>210</v>
      </c>
      <c r="C85" s="79" t="s">
        <v>211</v>
      </c>
      <c r="D85" s="79" t="s">
        <v>212</v>
      </c>
      <c r="E85" s="80" t="s">
        <v>891</v>
      </c>
      <c r="F85" s="79" t="s">
        <v>892</v>
      </c>
      <c r="G85" s="79" t="s">
        <v>36</v>
      </c>
      <c r="H85" s="81" t="s">
        <v>528</v>
      </c>
      <c r="I85" s="79" t="s">
        <v>893</v>
      </c>
      <c r="J85" s="79" t="s">
        <v>530</v>
      </c>
      <c r="K85" s="79" t="s">
        <v>731</v>
      </c>
      <c r="L85" s="13" t="s">
        <v>45</v>
      </c>
      <c r="M85" s="81" t="s">
        <v>732</v>
      </c>
      <c r="N85" s="81" t="s">
        <v>533</v>
      </c>
      <c r="O85" s="82">
        <v>45683</v>
      </c>
      <c r="P85" s="102">
        <v>45694</v>
      </c>
      <c r="Q85" s="105"/>
      <c r="R85" s="81"/>
      <c r="S85" s="141" t="s">
        <v>894</v>
      </c>
      <c r="T85" s="142" t="s">
        <v>895</v>
      </c>
    </row>
    <row r="86" spans="1:20" ht="99.95" customHeight="1">
      <c r="A86" s="78" t="s">
        <v>526</v>
      </c>
      <c r="B86" s="79" t="s">
        <v>210</v>
      </c>
      <c r="C86" s="79" t="s">
        <v>211</v>
      </c>
      <c r="D86" s="79" t="s">
        <v>212</v>
      </c>
      <c r="E86" s="80" t="s">
        <v>896</v>
      </c>
      <c r="F86" s="79" t="s">
        <v>897</v>
      </c>
      <c r="G86" s="79" t="s">
        <v>36</v>
      </c>
      <c r="H86" s="81" t="s">
        <v>528</v>
      </c>
      <c r="I86" s="79" t="s">
        <v>898</v>
      </c>
      <c r="J86" s="79" t="s">
        <v>530</v>
      </c>
      <c r="K86" s="79" t="s">
        <v>731</v>
      </c>
      <c r="L86" s="13" t="s">
        <v>45</v>
      </c>
      <c r="M86" s="81" t="s">
        <v>732</v>
      </c>
      <c r="N86" s="81" t="s">
        <v>533</v>
      </c>
      <c r="O86" s="82">
        <v>45683</v>
      </c>
      <c r="P86" s="102">
        <v>45694</v>
      </c>
      <c r="Q86" s="105"/>
      <c r="R86" s="81"/>
      <c r="S86" s="141" t="s">
        <v>899</v>
      </c>
      <c r="T86" s="142" t="s">
        <v>900</v>
      </c>
    </row>
    <row r="87" spans="1:20" ht="99.95" customHeight="1">
      <c r="A87" s="78" t="s">
        <v>526</v>
      </c>
      <c r="B87" s="79" t="s">
        <v>210</v>
      </c>
      <c r="C87" s="79" t="s">
        <v>211</v>
      </c>
      <c r="D87" s="79" t="s">
        <v>212</v>
      </c>
      <c r="E87" s="80" t="s">
        <v>901</v>
      </c>
      <c r="F87" s="79" t="s">
        <v>902</v>
      </c>
      <c r="G87" s="79" t="s">
        <v>36</v>
      </c>
      <c r="H87" s="81" t="s">
        <v>528</v>
      </c>
      <c r="I87" s="79" t="s">
        <v>903</v>
      </c>
      <c r="J87" s="79" t="s">
        <v>675</v>
      </c>
      <c r="K87" s="79" t="s">
        <v>904</v>
      </c>
      <c r="L87" s="13" t="s">
        <v>45</v>
      </c>
      <c r="M87" s="81" t="s">
        <v>732</v>
      </c>
      <c r="N87" s="81" t="s">
        <v>533</v>
      </c>
      <c r="O87" s="82">
        <v>45683</v>
      </c>
      <c r="P87" s="102">
        <v>45694</v>
      </c>
      <c r="Q87" s="105"/>
      <c r="R87" s="81"/>
      <c r="S87" s="141" t="s">
        <v>905</v>
      </c>
      <c r="T87" s="142" t="s">
        <v>906</v>
      </c>
    </row>
    <row r="88" spans="1:20" ht="99.95" customHeight="1">
      <c r="A88" s="78" t="s">
        <v>526</v>
      </c>
      <c r="B88" s="79" t="s">
        <v>210</v>
      </c>
      <c r="C88" s="79" t="s">
        <v>211</v>
      </c>
      <c r="D88" s="79" t="s">
        <v>212</v>
      </c>
      <c r="E88" s="80" t="s">
        <v>907</v>
      </c>
      <c r="F88" s="79" t="s">
        <v>908</v>
      </c>
      <c r="G88" s="79" t="s">
        <v>36</v>
      </c>
      <c r="H88" s="81" t="s">
        <v>528</v>
      </c>
      <c r="I88" s="79" t="s">
        <v>909</v>
      </c>
      <c r="J88" s="79" t="s">
        <v>675</v>
      </c>
      <c r="K88" s="79" t="s">
        <v>904</v>
      </c>
      <c r="L88" s="13" t="s">
        <v>45</v>
      </c>
      <c r="M88" s="81" t="s">
        <v>732</v>
      </c>
      <c r="N88" s="81" t="s">
        <v>533</v>
      </c>
      <c r="O88" s="82">
        <v>45683</v>
      </c>
      <c r="P88" s="102">
        <v>45694</v>
      </c>
      <c r="Q88" s="105"/>
      <c r="R88" s="81"/>
      <c r="S88" s="141" t="s">
        <v>910</v>
      </c>
      <c r="T88" s="142" t="s">
        <v>911</v>
      </c>
    </row>
    <row r="89" spans="1:20" ht="99.95" customHeight="1">
      <c r="A89" s="78" t="s">
        <v>526</v>
      </c>
      <c r="B89" s="79" t="s">
        <v>210</v>
      </c>
      <c r="C89" s="79" t="s">
        <v>211</v>
      </c>
      <c r="D89" s="79" t="s">
        <v>212</v>
      </c>
      <c r="E89" s="80" t="s">
        <v>912</v>
      </c>
      <c r="F89" s="79" t="s">
        <v>913</v>
      </c>
      <c r="G89" s="79" t="s">
        <v>36</v>
      </c>
      <c r="H89" s="81" t="s">
        <v>528</v>
      </c>
      <c r="I89" s="79" t="s">
        <v>914</v>
      </c>
      <c r="J89" s="79" t="s">
        <v>675</v>
      </c>
      <c r="K89" s="79" t="s">
        <v>904</v>
      </c>
      <c r="L89" s="13" t="s">
        <v>45</v>
      </c>
      <c r="M89" s="81" t="s">
        <v>732</v>
      </c>
      <c r="N89" s="81" t="s">
        <v>533</v>
      </c>
      <c r="O89" s="82">
        <v>45683</v>
      </c>
      <c r="P89" s="102">
        <v>45694</v>
      </c>
      <c r="Q89" s="105"/>
      <c r="R89" s="81"/>
      <c r="S89" s="141" t="s">
        <v>915</v>
      </c>
      <c r="T89" s="142" t="s">
        <v>916</v>
      </c>
    </row>
    <row r="90" spans="1:20" ht="99.95" customHeight="1">
      <c r="A90" s="78" t="s">
        <v>526</v>
      </c>
      <c r="B90" s="79" t="s">
        <v>210</v>
      </c>
      <c r="C90" s="79" t="s">
        <v>211</v>
      </c>
      <c r="D90" s="79" t="s">
        <v>212</v>
      </c>
      <c r="E90" s="80" t="s">
        <v>917</v>
      </c>
      <c r="F90" s="79" t="s">
        <v>918</v>
      </c>
      <c r="G90" s="79" t="s">
        <v>36</v>
      </c>
      <c r="H90" s="81" t="s">
        <v>528</v>
      </c>
      <c r="I90" s="79" t="s">
        <v>919</v>
      </c>
      <c r="J90" s="79" t="s">
        <v>675</v>
      </c>
      <c r="K90" s="79" t="s">
        <v>920</v>
      </c>
      <c r="L90" s="13" t="s">
        <v>45</v>
      </c>
      <c r="M90" s="81" t="s">
        <v>732</v>
      </c>
      <c r="N90" s="81" t="s">
        <v>533</v>
      </c>
      <c r="O90" s="82">
        <v>45683</v>
      </c>
      <c r="P90" s="102">
        <v>45694</v>
      </c>
      <c r="Q90" s="105"/>
      <c r="R90" s="81"/>
      <c r="S90" s="141" t="s">
        <v>921</v>
      </c>
      <c r="T90" s="142" t="s">
        <v>922</v>
      </c>
    </row>
    <row r="91" spans="1:20" ht="99.95" customHeight="1">
      <c r="A91" s="78" t="s">
        <v>526</v>
      </c>
      <c r="B91" s="79" t="s">
        <v>210</v>
      </c>
      <c r="C91" s="79" t="s">
        <v>211</v>
      </c>
      <c r="D91" s="79" t="s">
        <v>212</v>
      </c>
      <c r="E91" s="80" t="s">
        <v>923</v>
      </c>
      <c r="F91" s="79" t="s">
        <v>924</v>
      </c>
      <c r="G91" s="79" t="s">
        <v>36</v>
      </c>
      <c r="H91" s="81" t="s">
        <v>528</v>
      </c>
      <c r="I91" s="79" t="s">
        <v>925</v>
      </c>
      <c r="J91" s="79" t="s">
        <v>675</v>
      </c>
      <c r="K91" s="79" t="s">
        <v>920</v>
      </c>
      <c r="L91" s="13" t="s">
        <v>45</v>
      </c>
      <c r="M91" s="81" t="s">
        <v>732</v>
      </c>
      <c r="N91" s="81" t="s">
        <v>533</v>
      </c>
      <c r="O91" s="82">
        <v>45683</v>
      </c>
      <c r="P91" s="102">
        <v>45694</v>
      </c>
      <c r="Q91" s="105"/>
      <c r="R91" s="81"/>
      <c r="S91" s="141" t="s">
        <v>926</v>
      </c>
      <c r="T91" s="142" t="s">
        <v>927</v>
      </c>
    </row>
    <row r="92" spans="1:20" ht="99.95" customHeight="1">
      <c r="A92" s="78" t="s">
        <v>526</v>
      </c>
      <c r="B92" s="79" t="s">
        <v>210</v>
      </c>
      <c r="C92" s="79" t="s">
        <v>211</v>
      </c>
      <c r="D92" s="79" t="s">
        <v>212</v>
      </c>
      <c r="E92" s="80" t="s">
        <v>928</v>
      </c>
      <c r="F92" s="79" t="s">
        <v>929</v>
      </c>
      <c r="G92" s="79" t="s">
        <v>36</v>
      </c>
      <c r="H92" s="81" t="s">
        <v>528</v>
      </c>
      <c r="I92" s="79" t="s">
        <v>930</v>
      </c>
      <c r="J92" s="79" t="s">
        <v>931</v>
      </c>
      <c r="K92" s="79" t="s">
        <v>932</v>
      </c>
      <c r="L92" s="13" t="s">
        <v>45</v>
      </c>
      <c r="M92" s="81" t="s">
        <v>732</v>
      </c>
      <c r="N92" s="81" t="s">
        <v>533</v>
      </c>
      <c r="O92" s="82">
        <v>45683</v>
      </c>
      <c r="P92" s="102">
        <v>45694</v>
      </c>
      <c r="Q92" s="105"/>
      <c r="R92" s="81"/>
      <c r="S92" s="141" t="s">
        <v>933</v>
      </c>
      <c r="T92" s="142" t="s">
        <v>934</v>
      </c>
    </row>
    <row r="93" spans="1:20" ht="99.95" customHeight="1">
      <c r="A93" s="78" t="s">
        <v>526</v>
      </c>
      <c r="B93" s="79" t="s">
        <v>210</v>
      </c>
      <c r="C93" s="79" t="s">
        <v>211</v>
      </c>
      <c r="D93" s="79" t="s">
        <v>212</v>
      </c>
      <c r="E93" s="80" t="s">
        <v>935</v>
      </c>
      <c r="F93" s="79" t="s">
        <v>936</v>
      </c>
      <c r="G93" s="79" t="s">
        <v>36</v>
      </c>
      <c r="H93" s="81" t="s">
        <v>528</v>
      </c>
      <c r="I93" s="79" t="s">
        <v>937</v>
      </c>
      <c r="J93" s="79" t="s">
        <v>931</v>
      </c>
      <c r="K93" s="79" t="s">
        <v>932</v>
      </c>
      <c r="L93" s="13" t="s">
        <v>45</v>
      </c>
      <c r="M93" s="81" t="s">
        <v>732</v>
      </c>
      <c r="N93" s="81" t="s">
        <v>533</v>
      </c>
      <c r="O93" s="82">
        <v>45683</v>
      </c>
      <c r="P93" s="102">
        <v>45694</v>
      </c>
      <c r="Q93" s="105"/>
      <c r="R93" s="81"/>
      <c r="S93" s="141" t="s">
        <v>938</v>
      </c>
      <c r="T93" s="142" t="s">
        <v>939</v>
      </c>
    </row>
    <row r="94" spans="1:20" ht="99.95" customHeight="1">
      <c r="A94" s="78" t="s">
        <v>526</v>
      </c>
      <c r="B94" s="79" t="s">
        <v>210</v>
      </c>
      <c r="C94" s="79" t="s">
        <v>211</v>
      </c>
      <c r="D94" s="79" t="s">
        <v>212</v>
      </c>
      <c r="E94" s="80" t="s">
        <v>940</v>
      </c>
      <c r="F94" s="79" t="s">
        <v>941</v>
      </c>
      <c r="G94" s="79" t="s">
        <v>36</v>
      </c>
      <c r="H94" s="81" t="s">
        <v>528</v>
      </c>
      <c r="I94" s="79" t="s">
        <v>942</v>
      </c>
      <c r="J94" s="79" t="s">
        <v>530</v>
      </c>
      <c r="K94" s="79" t="s">
        <v>943</v>
      </c>
      <c r="L94" s="13" t="s">
        <v>45</v>
      </c>
      <c r="M94" s="81" t="s">
        <v>732</v>
      </c>
      <c r="N94" s="81" t="s">
        <v>533</v>
      </c>
      <c r="O94" s="82">
        <v>45683</v>
      </c>
      <c r="P94" s="102">
        <v>45694</v>
      </c>
      <c r="Q94" s="105"/>
      <c r="R94" s="81"/>
      <c r="S94" s="143" t="s">
        <v>717</v>
      </c>
      <c r="T94" s="143" t="s">
        <v>717</v>
      </c>
    </row>
    <row r="95" spans="1:20" ht="99.95" customHeight="1">
      <c r="A95" s="78" t="s">
        <v>526</v>
      </c>
      <c r="B95" s="79" t="s">
        <v>210</v>
      </c>
      <c r="C95" s="79" t="s">
        <v>211</v>
      </c>
      <c r="D95" s="79" t="s">
        <v>212</v>
      </c>
      <c r="E95" s="80" t="s">
        <v>944</v>
      </c>
      <c r="F95" s="79" t="s">
        <v>945</v>
      </c>
      <c r="G95" s="79" t="s">
        <v>36</v>
      </c>
      <c r="H95" s="81" t="s">
        <v>528</v>
      </c>
      <c r="I95" s="79" t="s">
        <v>946</v>
      </c>
      <c r="J95" s="79" t="s">
        <v>947</v>
      </c>
      <c r="K95" s="79" t="s">
        <v>725</v>
      </c>
      <c r="L95" s="13" t="s">
        <v>45</v>
      </c>
      <c r="M95" s="81" t="s">
        <v>732</v>
      </c>
      <c r="N95" s="81" t="s">
        <v>533</v>
      </c>
      <c r="O95" s="82">
        <v>45683</v>
      </c>
      <c r="P95" s="102">
        <v>45694</v>
      </c>
      <c r="Q95" s="105"/>
      <c r="R95" s="81"/>
      <c r="S95" s="25" t="s">
        <v>948</v>
      </c>
      <c r="T95" s="145" t="s">
        <v>949</v>
      </c>
    </row>
    <row r="96" spans="1:20" ht="99.95" customHeight="1">
      <c r="A96" s="83" t="s">
        <v>526</v>
      </c>
      <c r="B96" s="84" t="s">
        <v>210</v>
      </c>
      <c r="C96" s="84" t="s">
        <v>211</v>
      </c>
      <c r="D96" s="84" t="s">
        <v>212</v>
      </c>
      <c r="E96" s="89" t="s">
        <v>950</v>
      </c>
      <c r="F96" s="84" t="s">
        <v>951</v>
      </c>
      <c r="G96" s="84" t="s">
        <v>36</v>
      </c>
      <c r="H96" s="85" t="s">
        <v>528</v>
      </c>
      <c r="I96" s="84" t="s">
        <v>952</v>
      </c>
      <c r="J96" s="84" t="s">
        <v>530</v>
      </c>
      <c r="K96" s="84" t="s">
        <v>943</v>
      </c>
      <c r="L96" s="13" t="s">
        <v>45</v>
      </c>
      <c r="M96" s="85" t="s">
        <v>732</v>
      </c>
      <c r="N96" s="85" t="s">
        <v>533</v>
      </c>
      <c r="O96" s="86">
        <v>45683</v>
      </c>
      <c r="P96" s="103">
        <v>45694</v>
      </c>
      <c r="Q96" s="105"/>
      <c r="R96" s="81"/>
      <c r="S96" s="146" t="s">
        <v>953</v>
      </c>
      <c r="T96" s="147" t="s">
        <v>954</v>
      </c>
    </row>
    <row r="97" spans="1:20" ht="99.95" customHeight="1">
      <c r="A97" s="54" t="s">
        <v>526</v>
      </c>
      <c r="B97" s="54" t="s">
        <v>210</v>
      </c>
      <c r="C97" s="54" t="s">
        <v>211</v>
      </c>
      <c r="D97" s="54" t="s">
        <v>212</v>
      </c>
      <c r="E97" s="87" t="s">
        <v>955</v>
      </c>
      <c r="F97" s="54" t="s">
        <v>956</v>
      </c>
      <c r="G97" s="68" t="s">
        <v>262</v>
      </c>
      <c r="H97" s="68" t="s">
        <v>262</v>
      </c>
      <c r="I97" s="54" t="s">
        <v>957</v>
      </c>
      <c r="J97" s="54" t="s">
        <v>530</v>
      </c>
      <c r="K97" s="54" t="s">
        <v>943</v>
      </c>
      <c r="L97" s="13" t="s">
        <v>45</v>
      </c>
      <c r="M97" s="68" t="s">
        <v>732</v>
      </c>
      <c r="N97" s="68" t="s">
        <v>533</v>
      </c>
      <c r="O97" s="88">
        <v>45683</v>
      </c>
      <c r="P97" s="104">
        <v>45694</v>
      </c>
      <c r="Q97" s="105"/>
      <c r="R97" s="81"/>
      <c r="S97" s="146" t="s">
        <v>958</v>
      </c>
      <c r="T97" s="147" t="s">
        <v>959</v>
      </c>
    </row>
    <row r="98" spans="1:20" ht="195">
      <c r="A98" s="78" t="s">
        <v>526</v>
      </c>
      <c r="B98" s="79" t="s">
        <v>210</v>
      </c>
      <c r="C98" s="79" t="s">
        <v>211</v>
      </c>
      <c r="D98" s="79" t="s">
        <v>212</v>
      </c>
      <c r="E98" s="75" t="s">
        <v>960</v>
      </c>
      <c r="F98" s="74" t="s">
        <v>961</v>
      </c>
      <c r="G98" s="76" t="s">
        <v>262</v>
      </c>
      <c r="H98" s="76" t="s">
        <v>262</v>
      </c>
      <c r="I98" s="74" t="s">
        <v>962</v>
      </c>
      <c r="J98" s="74" t="s">
        <v>530</v>
      </c>
      <c r="K98" s="74" t="s">
        <v>943</v>
      </c>
      <c r="L98" s="13" t="s">
        <v>45</v>
      </c>
      <c r="M98" s="76" t="s">
        <v>732</v>
      </c>
      <c r="N98" s="76" t="s">
        <v>533</v>
      </c>
      <c r="O98" s="77">
        <v>45683</v>
      </c>
      <c r="P98" s="101">
        <v>45694</v>
      </c>
      <c r="Q98" s="105"/>
      <c r="R98" s="81"/>
      <c r="S98" s="25" t="s">
        <v>963</v>
      </c>
      <c r="T98" s="145" t="s">
        <v>964</v>
      </c>
    </row>
    <row r="99" spans="1:20" ht="360">
      <c r="A99" s="78" t="s">
        <v>526</v>
      </c>
      <c r="B99" s="79" t="s">
        <v>210</v>
      </c>
      <c r="C99" s="79" t="s">
        <v>211</v>
      </c>
      <c r="D99" s="79" t="s">
        <v>212</v>
      </c>
      <c r="E99" s="80" t="s">
        <v>965</v>
      </c>
      <c r="F99" s="79" t="s">
        <v>966</v>
      </c>
      <c r="G99" s="81" t="s">
        <v>262</v>
      </c>
      <c r="H99" s="81" t="s">
        <v>262</v>
      </c>
      <c r="I99" s="79" t="s">
        <v>967</v>
      </c>
      <c r="J99" s="79" t="s">
        <v>530</v>
      </c>
      <c r="K99" s="79" t="s">
        <v>943</v>
      </c>
      <c r="L99" s="13" t="s">
        <v>45</v>
      </c>
      <c r="M99" s="81" t="s">
        <v>732</v>
      </c>
      <c r="N99" s="81" t="s">
        <v>533</v>
      </c>
      <c r="O99" s="82">
        <v>45683</v>
      </c>
      <c r="P99" s="102">
        <v>45694</v>
      </c>
      <c r="Q99" s="105"/>
      <c r="R99" s="81"/>
      <c r="S99" s="25" t="s">
        <v>968</v>
      </c>
      <c r="T99" s="145" t="s">
        <v>969</v>
      </c>
    </row>
    <row r="100" spans="1:20" ht="360">
      <c r="A100" s="78" t="s">
        <v>526</v>
      </c>
      <c r="B100" s="79" t="s">
        <v>210</v>
      </c>
      <c r="C100" s="79" t="s">
        <v>211</v>
      </c>
      <c r="D100" s="79" t="s">
        <v>212</v>
      </c>
      <c r="E100" s="80" t="s">
        <v>970</v>
      </c>
      <c r="F100" s="79" t="s">
        <v>971</v>
      </c>
      <c r="G100" s="81" t="s">
        <v>262</v>
      </c>
      <c r="H100" s="81" t="s">
        <v>262</v>
      </c>
      <c r="I100" s="79" t="s">
        <v>972</v>
      </c>
      <c r="J100" s="79" t="s">
        <v>530</v>
      </c>
      <c r="K100" s="79" t="s">
        <v>943</v>
      </c>
      <c r="L100" s="13" t="s">
        <v>45</v>
      </c>
      <c r="M100" s="81" t="s">
        <v>732</v>
      </c>
      <c r="N100" s="81" t="s">
        <v>533</v>
      </c>
      <c r="O100" s="82">
        <v>45683</v>
      </c>
      <c r="P100" s="82">
        <v>45694</v>
      </c>
      <c r="Q100" s="82"/>
      <c r="R100" s="81"/>
      <c r="S100" s="25" t="s">
        <v>973</v>
      </c>
      <c r="T100" s="145" t="s">
        <v>974</v>
      </c>
    </row>
    <row r="101" spans="1:20" ht="81" customHeight="1">
      <c r="A101" s="78" t="s">
        <v>526</v>
      </c>
      <c r="B101" s="79" t="s">
        <v>210</v>
      </c>
      <c r="C101" s="79" t="s">
        <v>211</v>
      </c>
      <c r="D101" s="79" t="s">
        <v>212</v>
      </c>
      <c r="E101" s="80" t="s">
        <v>975</v>
      </c>
      <c r="F101" s="79" t="s">
        <v>976</v>
      </c>
      <c r="G101" s="81" t="s">
        <v>262</v>
      </c>
      <c r="H101" s="81" t="s">
        <v>262</v>
      </c>
      <c r="I101" s="79" t="s">
        <v>977</v>
      </c>
      <c r="J101" s="79" t="s">
        <v>530</v>
      </c>
      <c r="K101" s="79" t="s">
        <v>943</v>
      </c>
      <c r="L101" s="13" t="s">
        <v>45</v>
      </c>
      <c r="M101" s="81" t="s">
        <v>732</v>
      </c>
      <c r="N101" s="81" t="s">
        <v>533</v>
      </c>
      <c r="O101" s="82">
        <v>45683</v>
      </c>
      <c r="P101" s="82">
        <v>45694</v>
      </c>
      <c r="Q101" s="82"/>
      <c r="R101" s="81"/>
      <c r="S101" s="25" t="s">
        <v>978</v>
      </c>
      <c r="T101" s="145" t="s">
        <v>979</v>
      </c>
    </row>
    <row r="102" spans="1:20" ht="37.5" customHeight="1">
      <c r="A102" s="194" t="s">
        <v>526</v>
      </c>
      <c r="B102" s="195" t="s">
        <v>210</v>
      </c>
      <c r="C102" s="195" t="s">
        <v>211</v>
      </c>
      <c r="D102" s="195" t="s">
        <v>212</v>
      </c>
      <c r="E102" s="196" t="s">
        <v>980</v>
      </c>
      <c r="F102" s="25" t="s">
        <v>981</v>
      </c>
      <c r="G102" s="197" t="s">
        <v>36</v>
      </c>
      <c r="H102" s="197" t="s">
        <v>528</v>
      </c>
      <c r="I102" s="25" t="s">
        <v>982</v>
      </c>
      <c r="J102" s="198" t="s">
        <v>530</v>
      </c>
      <c r="K102" s="198" t="s">
        <v>983</v>
      </c>
      <c r="L102" s="195" t="s">
        <v>262</v>
      </c>
      <c r="M102" s="195" t="s">
        <v>532</v>
      </c>
      <c r="N102" s="195" t="s">
        <v>533</v>
      </c>
      <c r="O102" s="199">
        <v>45683</v>
      </c>
      <c r="P102" s="199">
        <v>45694</v>
      </c>
      <c r="Q102" s="195" t="s">
        <v>262</v>
      </c>
      <c r="R102" s="25"/>
      <c r="S102" s="25" t="s">
        <v>984</v>
      </c>
      <c r="T102" s="145" t="s">
        <v>985</v>
      </c>
    </row>
    <row r="103" spans="1:20" ht="37.5" customHeight="1">
      <c r="A103" s="194" t="s">
        <v>526</v>
      </c>
      <c r="B103" s="195" t="s">
        <v>210</v>
      </c>
      <c r="C103" s="195" t="s">
        <v>211</v>
      </c>
      <c r="D103" s="195" t="s">
        <v>212</v>
      </c>
      <c r="E103" s="196" t="s">
        <v>986</v>
      </c>
      <c r="F103" s="200" t="s">
        <v>987</v>
      </c>
      <c r="G103" s="197" t="s">
        <v>36</v>
      </c>
      <c r="H103" s="197" t="s">
        <v>528</v>
      </c>
      <c r="I103" s="200" t="s">
        <v>988</v>
      </c>
      <c r="J103" s="198" t="s">
        <v>530</v>
      </c>
      <c r="K103" s="198" t="s">
        <v>989</v>
      </c>
      <c r="L103" s="195" t="s">
        <v>262</v>
      </c>
      <c r="M103" s="195" t="s">
        <v>732</v>
      </c>
      <c r="N103" s="195" t="s">
        <v>533</v>
      </c>
      <c r="O103" s="199">
        <v>45683</v>
      </c>
      <c r="P103" s="199">
        <v>45694</v>
      </c>
      <c r="Q103" s="195" t="s">
        <v>262</v>
      </c>
      <c r="R103" s="25"/>
      <c r="S103" s="25" t="s">
        <v>990</v>
      </c>
      <c r="T103" s="145" t="s">
        <v>991</v>
      </c>
    </row>
    <row r="104" spans="1:20">
      <c r="R104" s="113">
        <f>(COUNTIF(R2:R103,"OK")/(COUNTBLANK(R2:R103)+(COUNTA(R2:R103)-(COUNTIF(R2:R103,"N/A")))))</f>
        <v>0</v>
      </c>
      <c r="S104" s="114" t="s">
        <v>195</v>
      </c>
    </row>
    <row r="105" spans="1:20">
      <c r="R105" s="13">
        <f>COUNTBLANK(R2:R103)+(COUNTA(R2:R103)-(COUNTIF(R2:R103,"N/A"))-(COUNTIF(R2:R103,"OK"))-(COUNTIF(R2:R103,"KO")))</f>
        <v>102</v>
      </c>
      <c r="S105" s="13" t="s">
        <v>196</v>
      </c>
    </row>
    <row r="106" spans="1:20">
      <c r="R106" s="13">
        <f>COUNTIF(R2:R103,"KO")</f>
        <v>0</v>
      </c>
      <c r="S106" s="13" t="s">
        <v>3</v>
      </c>
    </row>
    <row r="107" spans="1:20">
      <c r="R107" s="13">
        <f>COUNTIF(R2:R103,"OK")</f>
        <v>0</v>
      </c>
      <c r="S107" s="13" t="s">
        <v>2</v>
      </c>
    </row>
    <row r="108" spans="1:20">
      <c r="R108" s="13">
        <f>COUNTBLANK(R2:R103)+(COUNTA(R2:R103)-(COUNTIF(R2:R103,"N/A")))</f>
        <v>102</v>
      </c>
      <c r="S108" s="13" t="s">
        <v>197</v>
      </c>
    </row>
  </sheetData>
  <autoFilter ref="F1:F98" xr:uid="{1909C6FB-8786-490C-9156-426678941C59}"/>
  <phoneticPr fontId="19"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E54F1D1-362F-4018-9329-005854E7D388}">
          <x14:formula1>
            <xm:f>Listados!$A$2:$A$5</xm:f>
          </x14:formula1>
          <xm:sqref>R2:R103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B1152-7B2F-4A3B-A39D-F1EF7D2FAE92}">
  <dimension ref="A1:S42"/>
  <sheetViews>
    <sheetView zoomScale="80" zoomScaleNormal="80" workbookViewId="0">
      <pane xSplit="6" ySplit="1" topLeftCell="Q36" activePane="bottomRight" state="frozen"/>
      <selection pane="bottomRight" activeCell="F41" sqref="F41"/>
      <selection pane="bottomLeft"/>
      <selection pane="topRight"/>
    </sheetView>
  </sheetViews>
  <sheetFormatPr defaultColWidth="11.42578125" defaultRowHeight="15"/>
  <cols>
    <col min="1" max="1" width="36" bestFit="1" customWidth="1"/>
    <col min="2" max="2" width="12.42578125" customWidth="1"/>
    <col min="6" max="6" width="55.140625" customWidth="1"/>
    <col min="7" max="7" width="16.85546875" customWidth="1"/>
    <col min="8" max="8" width="43" customWidth="1"/>
    <col min="9" max="9" width="46.140625" customWidth="1"/>
    <col min="10" max="10" width="32.42578125" customWidth="1"/>
    <col min="11" max="11" width="25" customWidth="1"/>
    <col min="12" max="12" width="12" bestFit="1" customWidth="1"/>
    <col min="13" max="13" width="42.140625" bestFit="1" customWidth="1"/>
    <col min="16" max="16" width="14.28515625" bestFit="1" customWidth="1"/>
    <col min="17" max="17" width="16.85546875" customWidth="1"/>
    <col min="18" max="18" width="28.42578125" style="20" bestFit="1" customWidth="1"/>
    <col min="19" max="19" width="27.28515625" style="20" customWidth="1"/>
  </cols>
  <sheetData>
    <row r="1" spans="1:19">
      <c r="A1" s="1" t="s">
        <v>198</v>
      </c>
      <c r="B1" s="1" t="s">
        <v>199</v>
      </c>
      <c r="C1" s="1" t="s">
        <v>200</v>
      </c>
      <c r="D1" s="1" t="s">
        <v>201</v>
      </c>
      <c r="E1" s="1" t="s">
        <v>202</v>
      </c>
      <c r="F1" s="1" t="s">
        <v>203</v>
      </c>
      <c r="G1" s="1" t="s">
        <v>204</v>
      </c>
      <c r="H1" s="1" t="s">
        <v>205</v>
      </c>
      <c r="I1" s="1" t="s">
        <v>206</v>
      </c>
      <c r="J1" s="1" t="s">
        <v>28</v>
      </c>
      <c r="K1" s="2" t="s">
        <v>29</v>
      </c>
      <c r="L1" s="3" t="s">
        <v>525</v>
      </c>
      <c r="M1" s="3" t="s">
        <v>30</v>
      </c>
      <c r="N1" s="2" t="s">
        <v>31</v>
      </c>
      <c r="O1" s="2" t="s">
        <v>32</v>
      </c>
      <c r="P1" s="3" t="s">
        <v>33</v>
      </c>
      <c r="Q1" s="3" t="s">
        <v>34</v>
      </c>
      <c r="R1" s="131" t="s">
        <v>207</v>
      </c>
      <c r="S1" s="131" t="s">
        <v>208</v>
      </c>
    </row>
    <row r="2" spans="1:19" ht="40.700000000000003" customHeight="1">
      <c r="A2" s="4" t="s">
        <v>526</v>
      </c>
      <c r="B2" s="4" t="s">
        <v>210</v>
      </c>
      <c r="C2" s="4" t="s">
        <v>211</v>
      </c>
      <c r="D2" s="4" t="s">
        <v>212</v>
      </c>
      <c r="E2" s="6" t="s">
        <v>389</v>
      </c>
      <c r="F2" s="7" t="s">
        <v>992</v>
      </c>
      <c r="G2" s="4" t="s">
        <v>391</v>
      </c>
      <c r="H2" s="8" t="s">
        <v>993</v>
      </c>
      <c r="I2" s="7" t="s">
        <v>994</v>
      </c>
      <c r="J2" s="7" t="s">
        <v>995</v>
      </c>
      <c r="K2" s="4" t="s">
        <v>45</v>
      </c>
      <c r="L2" s="5" t="s">
        <v>996</v>
      </c>
      <c r="M2" s="5" t="s">
        <v>997</v>
      </c>
      <c r="N2" s="42">
        <v>45690</v>
      </c>
      <c r="O2" s="42">
        <v>45694</v>
      </c>
      <c r="P2" s="100"/>
      <c r="Q2" s="52"/>
      <c r="R2" s="130" t="s">
        <v>998</v>
      </c>
      <c r="S2" s="130" t="s">
        <v>999</v>
      </c>
    </row>
    <row r="3" spans="1:19" ht="45">
      <c r="A3" s="4" t="s">
        <v>526</v>
      </c>
      <c r="B3" s="4" t="s">
        <v>210</v>
      </c>
      <c r="C3" s="4" t="s">
        <v>211</v>
      </c>
      <c r="D3" s="4" t="s">
        <v>212</v>
      </c>
      <c r="E3" s="6" t="s">
        <v>398</v>
      </c>
      <c r="F3" s="7" t="s">
        <v>1000</v>
      </c>
      <c r="G3" s="4" t="s">
        <v>391</v>
      </c>
      <c r="H3" s="8" t="s">
        <v>993</v>
      </c>
      <c r="I3" s="7" t="s">
        <v>994</v>
      </c>
      <c r="J3" s="7" t="s">
        <v>995</v>
      </c>
      <c r="K3" s="4" t="s">
        <v>45</v>
      </c>
      <c r="L3" s="5" t="s">
        <v>996</v>
      </c>
      <c r="M3" s="5" t="s">
        <v>997</v>
      </c>
      <c r="N3" s="42">
        <v>45690</v>
      </c>
      <c r="O3" s="42">
        <v>45694</v>
      </c>
      <c r="P3" s="100"/>
      <c r="Q3" s="52"/>
      <c r="R3" s="130" t="s">
        <v>1001</v>
      </c>
      <c r="S3" s="130" t="s">
        <v>1002</v>
      </c>
    </row>
    <row r="4" spans="1:19" ht="45">
      <c r="A4" s="4" t="s">
        <v>526</v>
      </c>
      <c r="B4" s="4" t="s">
        <v>210</v>
      </c>
      <c r="C4" s="4" t="s">
        <v>211</v>
      </c>
      <c r="D4" s="4" t="s">
        <v>212</v>
      </c>
      <c r="E4" s="6" t="s">
        <v>403</v>
      </c>
      <c r="F4" s="7" t="s">
        <v>1003</v>
      </c>
      <c r="G4" s="4" t="s">
        <v>391</v>
      </c>
      <c r="H4" s="8" t="s">
        <v>993</v>
      </c>
      <c r="I4" s="7" t="s">
        <v>994</v>
      </c>
      <c r="J4" s="7" t="s">
        <v>995</v>
      </c>
      <c r="K4" s="4" t="s">
        <v>45</v>
      </c>
      <c r="L4" s="5" t="s">
        <v>996</v>
      </c>
      <c r="M4" s="5" t="s">
        <v>997</v>
      </c>
      <c r="N4" s="42">
        <v>45690</v>
      </c>
      <c r="O4" s="42">
        <v>45694</v>
      </c>
      <c r="P4" s="100"/>
      <c r="Q4" s="52"/>
      <c r="R4" s="130" t="s">
        <v>1001</v>
      </c>
      <c r="S4" s="130" t="s">
        <v>1004</v>
      </c>
    </row>
    <row r="5" spans="1:19" ht="45">
      <c r="A5" s="4" t="s">
        <v>526</v>
      </c>
      <c r="B5" s="4" t="s">
        <v>210</v>
      </c>
      <c r="C5" s="4" t="s">
        <v>211</v>
      </c>
      <c r="D5" s="4" t="s">
        <v>212</v>
      </c>
      <c r="E5" s="6" t="s">
        <v>408</v>
      </c>
      <c r="F5" s="7" t="s">
        <v>1005</v>
      </c>
      <c r="G5" s="4" t="s">
        <v>391</v>
      </c>
      <c r="H5" s="8" t="s">
        <v>993</v>
      </c>
      <c r="I5" s="7" t="s">
        <v>994</v>
      </c>
      <c r="J5" s="7" t="s">
        <v>995</v>
      </c>
      <c r="K5" s="4" t="s">
        <v>45</v>
      </c>
      <c r="L5" s="5" t="s">
        <v>996</v>
      </c>
      <c r="M5" s="5" t="s">
        <v>997</v>
      </c>
      <c r="N5" s="42">
        <v>45690</v>
      </c>
      <c r="O5" s="42">
        <v>45694</v>
      </c>
      <c r="P5" s="100"/>
      <c r="Q5" s="52"/>
      <c r="R5" s="130" t="s">
        <v>1001</v>
      </c>
      <c r="S5" s="130" t="s">
        <v>1006</v>
      </c>
    </row>
    <row r="6" spans="1:19" ht="45">
      <c r="A6" s="4" t="s">
        <v>526</v>
      </c>
      <c r="B6" s="4" t="s">
        <v>210</v>
      </c>
      <c r="C6" s="4" t="s">
        <v>211</v>
      </c>
      <c r="D6" s="4" t="s">
        <v>212</v>
      </c>
      <c r="E6" s="6" t="s">
        <v>413</v>
      </c>
      <c r="F6" s="7" t="s">
        <v>1007</v>
      </c>
      <c r="G6" s="4" t="s">
        <v>391</v>
      </c>
      <c r="H6" s="8" t="s">
        <v>993</v>
      </c>
      <c r="I6" s="7" t="s">
        <v>994</v>
      </c>
      <c r="J6" s="7" t="s">
        <v>995</v>
      </c>
      <c r="K6" s="4" t="s">
        <v>45</v>
      </c>
      <c r="L6" s="5" t="s">
        <v>996</v>
      </c>
      <c r="M6" s="5" t="s">
        <v>997</v>
      </c>
      <c r="N6" s="42">
        <v>45690</v>
      </c>
      <c r="O6" s="42">
        <v>45694</v>
      </c>
      <c r="P6" s="100"/>
      <c r="Q6" s="52"/>
      <c r="R6" s="130" t="s">
        <v>1001</v>
      </c>
      <c r="S6" s="130" t="s">
        <v>1008</v>
      </c>
    </row>
    <row r="7" spans="1:19" ht="45">
      <c r="A7" s="4" t="s">
        <v>526</v>
      </c>
      <c r="B7" s="4" t="s">
        <v>210</v>
      </c>
      <c r="C7" s="4" t="s">
        <v>211</v>
      </c>
      <c r="D7" s="4" t="s">
        <v>212</v>
      </c>
      <c r="E7" s="6" t="s">
        <v>417</v>
      </c>
      <c r="F7" s="7" t="s">
        <v>1009</v>
      </c>
      <c r="G7" s="4" t="s">
        <v>391</v>
      </c>
      <c r="H7" s="8" t="s">
        <v>993</v>
      </c>
      <c r="I7" s="7" t="s">
        <v>994</v>
      </c>
      <c r="J7" s="7" t="s">
        <v>995</v>
      </c>
      <c r="K7" s="4" t="s">
        <v>45</v>
      </c>
      <c r="L7" s="5" t="s">
        <v>996</v>
      </c>
      <c r="M7" s="5" t="s">
        <v>997</v>
      </c>
      <c r="N7" s="42">
        <v>45690</v>
      </c>
      <c r="O7" s="42">
        <v>45694</v>
      </c>
      <c r="P7" s="100"/>
      <c r="Q7" s="52"/>
      <c r="R7" s="130" t="s">
        <v>998</v>
      </c>
      <c r="S7" s="130" t="s">
        <v>1010</v>
      </c>
    </row>
    <row r="8" spans="1:19" ht="45">
      <c r="A8" s="4" t="s">
        <v>526</v>
      </c>
      <c r="B8" s="4" t="s">
        <v>210</v>
      </c>
      <c r="C8" s="4" t="s">
        <v>211</v>
      </c>
      <c r="D8" s="4" t="s">
        <v>212</v>
      </c>
      <c r="E8" s="6" t="s">
        <v>420</v>
      </c>
      <c r="F8" s="7" t="s">
        <v>1011</v>
      </c>
      <c r="G8" s="4" t="s">
        <v>391</v>
      </c>
      <c r="H8" s="8" t="s">
        <v>993</v>
      </c>
      <c r="I8" s="7" t="s">
        <v>994</v>
      </c>
      <c r="J8" s="7" t="s">
        <v>995</v>
      </c>
      <c r="K8" s="4" t="s">
        <v>45</v>
      </c>
      <c r="L8" s="5" t="s">
        <v>996</v>
      </c>
      <c r="M8" s="5" t="s">
        <v>997</v>
      </c>
      <c r="N8" s="42">
        <v>45690</v>
      </c>
      <c r="O8" s="42">
        <v>45694</v>
      </c>
      <c r="P8" s="100"/>
      <c r="Q8" s="52"/>
      <c r="R8" s="130" t="s">
        <v>1012</v>
      </c>
      <c r="S8" s="130" t="s">
        <v>1013</v>
      </c>
    </row>
    <row r="9" spans="1:19" ht="45">
      <c r="A9" s="4" t="s">
        <v>526</v>
      </c>
      <c r="B9" s="4" t="s">
        <v>210</v>
      </c>
      <c r="C9" s="4" t="s">
        <v>211</v>
      </c>
      <c r="D9" s="4" t="s">
        <v>212</v>
      </c>
      <c r="E9" s="6" t="s">
        <v>425</v>
      </c>
      <c r="F9" s="7" t="s">
        <v>1014</v>
      </c>
      <c r="G9" s="4" t="s">
        <v>391</v>
      </c>
      <c r="H9" s="8" t="s">
        <v>993</v>
      </c>
      <c r="I9" s="7" t="s">
        <v>994</v>
      </c>
      <c r="J9" s="7" t="s">
        <v>995</v>
      </c>
      <c r="K9" s="4" t="s">
        <v>45</v>
      </c>
      <c r="L9" s="5" t="s">
        <v>996</v>
      </c>
      <c r="M9" s="5" t="s">
        <v>997</v>
      </c>
      <c r="N9" s="42">
        <v>45690</v>
      </c>
      <c r="O9" s="42">
        <v>45694</v>
      </c>
      <c r="P9" s="100"/>
      <c r="Q9" s="52"/>
      <c r="R9" s="130" t="s">
        <v>1012</v>
      </c>
      <c r="S9" s="130" t="s">
        <v>1015</v>
      </c>
    </row>
    <row r="10" spans="1:19" ht="45">
      <c r="A10" s="4" t="s">
        <v>526</v>
      </c>
      <c r="B10" s="4" t="s">
        <v>210</v>
      </c>
      <c r="C10" s="4" t="s">
        <v>211</v>
      </c>
      <c r="D10" s="4" t="s">
        <v>212</v>
      </c>
      <c r="E10" s="6" t="s">
        <v>430</v>
      </c>
      <c r="F10" s="7" t="s">
        <v>1016</v>
      </c>
      <c r="G10" s="4" t="s">
        <v>391</v>
      </c>
      <c r="H10" s="8" t="s">
        <v>993</v>
      </c>
      <c r="I10" s="7" t="s">
        <v>994</v>
      </c>
      <c r="J10" s="7" t="s">
        <v>995</v>
      </c>
      <c r="K10" s="4" t="s">
        <v>45</v>
      </c>
      <c r="L10" s="5" t="s">
        <v>996</v>
      </c>
      <c r="M10" s="5" t="s">
        <v>997</v>
      </c>
      <c r="N10" s="42">
        <v>45690</v>
      </c>
      <c r="O10" s="42">
        <v>45694</v>
      </c>
      <c r="P10" s="100"/>
      <c r="Q10" s="52"/>
      <c r="R10" s="130" t="s">
        <v>1012</v>
      </c>
      <c r="S10" s="130" t="s">
        <v>1017</v>
      </c>
    </row>
    <row r="11" spans="1:19" ht="45">
      <c r="A11" s="4" t="s">
        <v>526</v>
      </c>
      <c r="B11" s="4" t="s">
        <v>210</v>
      </c>
      <c r="C11" s="4" t="s">
        <v>211</v>
      </c>
      <c r="D11" s="4" t="s">
        <v>212</v>
      </c>
      <c r="E11" s="6" t="s">
        <v>435</v>
      </c>
      <c r="F11" s="7" t="s">
        <v>1018</v>
      </c>
      <c r="G11" s="4" t="s">
        <v>391</v>
      </c>
      <c r="H11" s="8" t="s">
        <v>993</v>
      </c>
      <c r="I11" s="7" t="s">
        <v>994</v>
      </c>
      <c r="J11" s="7" t="s">
        <v>995</v>
      </c>
      <c r="K11" s="4" t="s">
        <v>45</v>
      </c>
      <c r="L11" s="5" t="s">
        <v>996</v>
      </c>
      <c r="M11" s="5" t="s">
        <v>997</v>
      </c>
      <c r="N11" s="42">
        <v>45690</v>
      </c>
      <c r="O11" s="42">
        <v>45694</v>
      </c>
      <c r="P11" s="100"/>
      <c r="Q11" s="52"/>
      <c r="R11" s="130" t="s">
        <v>1019</v>
      </c>
      <c r="S11" s="130" t="s">
        <v>1020</v>
      </c>
    </row>
    <row r="12" spans="1:19" ht="45">
      <c r="A12" s="4" t="s">
        <v>526</v>
      </c>
      <c r="B12" s="4" t="s">
        <v>210</v>
      </c>
      <c r="C12" s="4" t="s">
        <v>211</v>
      </c>
      <c r="D12" s="4" t="s">
        <v>212</v>
      </c>
      <c r="E12" s="6" t="s">
        <v>440</v>
      </c>
      <c r="F12" s="7" t="s">
        <v>1021</v>
      </c>
      <c r="G12" s="4" t="s">
        <v>391</v>
      </c>
      <c r="H12" s="8" t="s">
        <v>993</v>
      </c>
      <c r="I12" s="7" t="s">
        <v>994</v>
      </c>
      <c r="J12" s="7" t="s">
        <v>995</v>
      </c>
      <c r="K12" s="4" t="s">
        <v>45</v>
      </c>
      <c r="L12" s="5" t="s">
        <v>996</v>
      </c>
      <c r="M12" s="5" t="s">
        <v>997</v>
      </c>
      <c r="N12" s="42">
        <v>45690</v>
      </c>
      <c r="O12" s="42">
        <v>45694</v>
      </c>
      <c r="P12" s="100"/>
      <c r="Q12" s="52"/>
      <c r="R12" s="130" t="s">
        <v>998</v>
      </c>
      <c r="S12" s="130" t="s">
        <v>1022</v>
      </c>
    </row>
    <row r="13" spans="1:19" ht="45">
      <c r="A13" s="4" t="s">
        <v>526</v>
      </c>
      <c r="B13" s="4" t="s">
        <v>210</v>
      </c>
      <c r="C13" s="4" t="s">
        <v>211</v>
      </c>
      <c r="D13" s="4" t="s">
        <v>212</v>
      </c>
      <c r="E13" s="6" t="s">
        <v>445</v>
      </c>
      <c r="F13" s="7" t="s">
        <v>1023</v>
      </c>
      <c r="G13" s="4" t="s">
        <v>391</v>
      </c>
      <c r="H13" s="8" t="s">
        <v>993</v>
      </c>
      <c r="I13" s="7" t="s">
        <v>994</v>
      </c>
      <c r="J13" s="7" t="s">
        <v>995</v>
      </c>
      <c r="K13" s="4" t="s">
        <v>45</v>
      </c>
      <c r="L13" s="5" t="s">
        <v>996</v>
      </c>
      <c r="M13" s="5" t="s">
        <v>997</v>
      </c>
      <c r="N13" s="42">
        <v>45690</v>
      </c>
      <c r="O13" s="42">
        <v>45694</v>
      </c>
      <c r="P13" s="100"/>
      <c r="Q13" s="52"/>
      <c r="R13" s="130" t="s">
        <v>998</v>
      </c>
      <c r="S13" s="130" t="s">
        <v>1024</v>
      </c>
    </row>
    <row r="14" spans="1:19" ht="45">
      <c r="A14" s="4" t="s">
        <v>526</v>
      </c>
      <c r="B14" s="4" t="s">
        <v>210</v>
      </c>
      <c r="C14" s="4" t="s">
        <v>211</v>
      </c>
      <c r="D14" s="4" t="s">
        <v>212</v>
      </c>
      <c r="E14" s="6" t="s">
        <v>450</v>
      </c>
      <c r="F14" s="7" t="s">
        <v>1025</v>
      </c>
      <c r="G14" s="4" t="s">
        <v>391</v>
      </c>
      <c r="H14" s="8" t="s">
        <v>993</v>
      </c>
      <c r="I14" s="7" t="s">
        <v>994</v>
      </c>
      <c r="J14" s="7" t="s">
        <v>995</v>
      </c>
      <c r="K14" s="4" t="s">
        <v>45</v>
      </c>
      <c r="L14" s="5" t="s">
        <v>996</v>
      </c>
      <c r="M14" s="5" t="s">
        <v>997</v>
      </c>
      <c r="N14" s="42">
        <v>45690</v>
      </c>
      <c r="O14" s="42">
        <v>45694</v>
      </c>
      <c r="P14" s="100"/>
      <c r="Q14" s="52"/>
      <c r="R14" s="130" t="s">
        <v>998</v>
      </c>
      <c r="S14" s="130" t="s">
        <v>1026</v>
      </c>
    </row>
    <row r="15" spans="1:19" ht="45">
      <c r="A15" s="4" t="s">
        <v>526</v>
      </c>
      <c r="B15" s="4" t="s">
        <v>210</v>
      </c>
      <c r="C15" s="4" t="s">
        <v>211</v>
      </c>
      <c r="D15" s="4" t="s">
        <v>212</v>
      </c>
      <c r="E15" s="6" t="s">
        <v>455</v>
      </c>
      <c r="F15" s="7" t="s">
        <v>1027</v>
      </c>
      <c r="G15" s="4" t="s">
        <v>391</v>
      </c>
      <c r="H15" s="8" t="s">
        <v>993</v>
      </c>
      <c r="I15" s="7" t="s">
        <v>994</v>
      </c>
      <c r="J15" s="7" t="s">
        <v>995</v>
      </c>
      <c r="K15" s="4" t="s">
        <v>45</v>
      </c>
      <c r="L15" s="5" t="s">
        <v>996</v>
      </c>
      <c r="M15" s="5" t="s">
        <v>997</v>
      </c>
      <c r="N15" s="42">
        <v>45690</v>
      </c>
      <c r="O15" s="42">
        <v>45694</v>
      </c>
      <c r="P15" s="100"/>
      <c r="Q15" s="52"/>
      <c r="R15" s="130" t="s">
        <v>998</v>
      </c>
      <c r="S15" s="130" t="s">
        <v>1028</v>
      </c>
    </row>
    <row r="16" spans="1:19" ht="45">
      <c r="A16" s="4" t="s">
        <v>526</v>
      </c>
      <c r="B16" s="4" t="s">
        <v>210</v>
      </c>
      <c r="C16" s="4" t="s">
        <v>211</v>
      </c>
      <c r="D16" s="4" t="s">
        <v>212</v>
      </c>
      <c r="E16" s="6" t="s">
        <v>460</v>
      </c>
      <c r="F16" s="7" t="s">
        <v>1029</v>
      </c>
      <c r="G16" s="4" t="s">
        <v>391</v>
      </c>
      <c r="H16" s="8" t="s">
        <v>993</v>
      </c>
      <c r="I16" s="7" t="s">
        <v>994</v>
      </c>
      <c r="J16" s="7" t="s">
        <v>995</v>
      </c>
      <c r="K16" s="4" t="s">
        <v>45</v>
      </c>
      <c r="L16" s="5" t="s">
        <v>996</v>
      </c>
      <c r="M16" s="5" t="s">
        <v>997</v>
      </c>
      <c r="N16" s="42">
        <v>45690</v>
      </c>
      <c r="O16" s="42">
        <v>45694</v>
      </c>
      <c r="P16" s="100"/>
      <c r="Q16" s="52"/>
      <c r="R16" s="130" t="s">
        <v>998</v>
      </c>
      <c r="S16" s="130" t="s">
        <v>1030</v>
      </c>
    </row>
    <row r="17" spans="1:19" ht="45">
      <c r="A17" s="4" t="s">
        <v>526</v>
      </c>
      <c r="B17" s="4" t="s">
        <v>210</v>
      </c>
      <c r="C17" s="4" t="s">
        <v>211</v>
      </c>
      <c r="D17" s="4" t="s">
        <v>212</v>
      </c>
      <c r="E17" s="6" t="s">
        <v>465</v>
      </c>
      <c r="F17" s="7" t="s">
        <v>1031</v>
      </c>
      <c r="G17" s="4" t="s">
        <v>391</v>
      </c>
      <c r="H17" s="8" t="s">
        <v>993</v>
      </c>
      <c r="I17" s="7" t="s">
        <v>994</v>
      </c>
      <c r="J17" s="7" t="s">
        <v>995</v>
      </c>
      <c r="K17" s="4" t="s">
        <v>45</v>
      </c>
      <c r="L17" s="5" t="s">
        <v>996</v>
      </c>
      <c r="M17" s="5" t="s">
        <v>997</v>
      </c>
      <c r="N17" s="42">
        <v>45690</v>
      </c>
      <c r="O17" s="42">
        <v>45694</v>
      </c>
      <c r="P17" s="100"/>
      <c r="Q17" s="52"/>
      <c r="R17" s="130" t="s">
        <v>998</v>
      </c>
      <c r="S17" s="130" t="s">
        <v>1032</v>
      </c>
    </row>
    <row r="18" spans="1:19" ht="45">
      <c r="A18" s="4" t="s">
        <v>526</v>
      </c>
      <c r="B18" s="4" t="s">
        <v>210</v>
      </c>
      <c r="C18" s="4" t="s">
        <v>211</v>
      </c>
      <c r="D18" s="4" t="s">
        <v>212</v>
      </c>
      <c r="E18" s="6" t="s">
        <v>470</v>
      </c>
      <c r="F18" s="7" t="s">
        <v>1033</v>
      </c>
      <c r="G18" s="4" t="s">
        <v>391</v>
      </c>
      <c r="H18" s="8" t="s">
        <v>993</v>
      </c>
      <c r="I18" s="7" t="s">
        <v>994</v>
      </c>
      <c r="J18" s="7" t="s">
        <v>995</v>
      </c>
      <c r="K18" s="4" t="s">
        <v>45</v>
      </c>
      <c r="L18" s="5" t="s">
        <v>532</v>
      </c>
      <c r="M18" s="5" t="s">
        <v>997</v>
      </c>
      <c r="N18" s="42">
        <v>45690</v>
      </c>
      <c r="O18" s="42">
        <v>45694</v>
      </c>
      <c r="P18" s="100"/>
      <c r="Q18" s="52"/>
      <c r="R18" s="130" t="s">
        <v>998</v>
      </c>
      <c r="S18" s="130" t="s">
        <v>999</v>
      </c>
    </row>
    <row r="19" spans="1:19" ht="45">
      <c r="A19" s="4" t="s">
        <v>526</v>
      </c>
      <c r="B19" s="4" t="s">
        <v>210</v>
      </c>
      <c r="C19" s="4" t="s">
        <v>211</v>
      </c>
      <c r="D19" s="4" t="s">
        <v>212</v>
      </c>
      <c r="E19" s="6" t="s">
        <v>513</v>
      </c>
      <c r="F19" s="7" t="s">
        <v>1034</v>
      </c>
      <c r="G19" s="4" t="s">
        <v>391</v>
      </c>
      <c r="H19" s="8" t="s">
        <v>993</v>
      </c>
      <c r="I19" s="7" t="s">
        <v>994</v>
      </c>
      <c r="J19" s="7" t="s">
        <v>995</v>
      </c>
      <c r="K19" s="4" t="s">
        <v>45</v>
      </c>
      <c r="L19" s="5" t="s">
        <v>532</v>
      </c>
      <c r="M19" s="5" t="s">
        <v>997</v>
      </c>
      <c r="N19" s="42">
        <v>45690</v>
      </c>
      <c r="O19" s="42">
        <v>45694</v>
      </c>
      <c r="P19" s="100"/>
      <c r="Q19" s="52"/>
      <c r="R19" s="130" t="s">
        <v>998</v>
      </c>
      <c r="S19" s="130" t="s">
        <v>1035</v>
      </c>
    </row>
    <row r="20" spans="1:19" ht="45">
      <c r="A20" s="4" t="s">
        <v>526</v>
      </c>
      <c r="B20" s="4" t="s">
        <v>210</v>
      </c>
      <c r="C20" s="4" t="s">
        <v>211</v>
      </c>
      <c r="D20" s="4" t="s">
        <v>212</v>
      </c>
      <c r="E20" s="6" t="s">
        <v>518</v>
      </c>
      <c r="F20" s="7" t="s">
        <v>1036</v>
      </c>
      <c r="G20" s="4" t="s">
        <v>391</v>
      </c>
      <c r="H20" s="8" t="s">
        <v>993</v>
      </c>
      <c r="I20" s="7" t="s">
        <v>994</v>
      </c>
      <c r="J20" s="7" t="s">
        <v>995</v>
      </c>
      <c r="K20" s="4" t="s">
        <v>45</v>
      </c>
      <c r="L20" s="5" t="s">
        <v>532</v>
      </c>
      <c r="M20" s="5" t="s">
        <v>997</v>
      </c>
      <c r="N20" s="42">
        <v>45690</v>
      </c>
      <c r="O20" s="42">
        <v>45694</v>
      </c>
      <c r="P20" s="100"/>
      <c r="Q20" s="52"/>
      <c r="R20" s="130" t="s">
        <v>998</v>
      </c>
      <c r="S20" s="130" t="s">
        <v>1037</v>
      </c>
    </row>
    <row r="21" spans="1:19" ht="45">
      <c r="A21" s="4" t="s">
        <v>526</v>
      </c>
      <c r="B21" s="4" t="s">
        <v>210</v>
      </c>
      <c r="C21" s="4" t="s">
        <v>211</v>
      </c>
      <c r="D21" s="4" t="s">
        <v>212</v>
      </c>
      <c r="E21" s="6" t="s">
        <v>1038</v>
      </c>
      <c r="F21" s="7" t="s">
        <v>1039</v>
      </c>
      <c r="G21" s="4" t="s">
        <v>391</v>
      </c>
      <c r="H21" s="8" t="s">
        <v>993</v>
      </c>
      <c r="I21" s="7" t="s">
        <v>994</v>
      </c>
      <c r="J21" s="7" t="s">
        <v>995</v>
      </c>
      <c r="K21" s="4" t="s">
        <v>45</v>
      </c>
      <c r="L21" s="5" t="s">
        <v>532</v>
      </c>
      <c r="M21" s="5" t="s">
        <v>997</v>
      </c>
      <c r="N21" s="42">
        <v>45690</v>
      </c>
      <c r="O21" s="42">
        <v>45694</v>
      </c>
      <c r="P21" s="100"/>
      <c r="Q21" s="52"/>
      <c r="R21" s="130" t="s">
        <v>998</v>
      </c>
      <c r="S21" s="130" t="s">
        <v>1040</v>
      </c>
    </row>
    <row r="22" spans="1:19" ht="45">
      <c r="A22" s="4" t="s">
        <v>526</v>
      </c>
      <c r="B22" s="4" t="s">
        <v>210</v>
      </c>
      <c r="C22" s="4" t="s">
        <v>211</v>
      </c>
      <c r="D22" s="4" t="s">
        <v>212</v>
      </c>
      <c r="E22" s="6" t="s">
        <v>1041</v>
      </c>
      <c r="F22" s="7" t="s">
        <v>1042</v>
      </c>
      <c r="G22" s="4" t="s">
        <v>391</v>
      </c>
      <c r="H22" s="8" t="s">
        <v>993</v>
      </c>
      <c r="I22" s="7" t="s">
        <v>994</v>
      </c>
      <c r="J22" s="7" t="s">
        <v>995</v>
      </c>
      <c r="K22" s="4" t="s">
        <v>45</v>
      </c>
      <c r="L22" s="5" t="s">
        <v>732</v>
      </c>
      <c r="M22" s="5" t="s">
        <v>997</v>
      </c>
      <c r="N22" s="42">
        <v>45690</v>
      </c>
      <c r="O22" s="42">
        <v>45694</v>
      </c>
      <c r="P22" s="100"/>
      <c r="Q22" s="52"/>
      <c r="R22" s="130" t="s">
        <v>998</v>
      </c>
      <c r="S22" s="130" t="s">
        <v>1043</v>
      </c>
    </row>
    <row r="23" spans="1:19" ht="45">
      <c r="A23" s="4" t="s">
        <v>526</v>
      </c>
      <c r="B23" s="4" t="s">
        <v>210</v>
      </c>
      <c r="C23" s="4" t="s">
        <v>211</v>
      </c>
      <c r="D23" s="4" t="s">
        <v>212</v>
      </c>
      <c r="E23" s="6" t="s">
        <v>1044</v>
      </c>
      <c r="F23" s="7" t="s">
        <v>1045</v>
      </c>
      <c r="G23" s="4" t="s">
        <v>391</v>
      </c>
      <c r="H23" s="8" t="s">
        <v>993</v>
      </c>
      <c r="I23" s="7" t="s">
        <v>994</v>
      </c>
      <c r="J23" s="7" t="s">
        <v>995</v>
      </c>
      <c r="K23" s="4" t="s">
        <v>45</v>
      </c>
      <c r="L23" s="5" t="s">
        <v>732</v>
      </c>
      <c r="M23" s="5" t="s">
        <v>997</v>
      </c>
      <c r="N23" s="42">
        <v>45690</v>
      </c>
      <c r="O23" s="42">
        <v>45694</v>
      </c>
      <c r="P23" s="100"/>
      <c r="Q23" s="52"/>
      <c r="R23" s="130" t="s">
        <v>998</v>
      </c>
      <c r="S23" s="130" t="s">
        <v>1046</v>
      </c>
    </row>
    <row r="24" spans="1:19" ht="45">
      <c r="A24" s="4" t="s">
        <v>526</v>
      </c>
      <c r="B24" s="4" t="s">
        <v>210</v>
      </c>
      <c r="C24" s="4" t="s">
        <v>211</v>
      </c>
      <c r="D24" s="4" t="s">
        <v>212</v>
      </c>
      <c r="E24" s="6" t="s">
        <v>1047</v>
      </c>
      <c r="F24" s="7" t="s">
        <v>1048</v>
      </c>
      <c r="G24" s="4" t="s">
        <v>391</v>
      </c>
      <c r="H24" s="8" t="s">
        <v>993</v>
      </c>
      <c r="I24" s="7" t="s">
        <v>994</v>
      </c>
      <c r="J24" s="7" t="s">
        <v>995</v>
      </c>
      <c r="K24" s="4" t="s">
        <v>45</v>
      </c>
      <c r="L24" s="5" t="s">
        <v>732</v>
      </c>
      <c r="M24" s="5" t="s">
        <v>997</v>
      </c>
      <c r="N24" s="42">
        <v>45690</v>
      </c>
      <c r="O24" s="42">
        <v>45694</v>
      </c>
      <c r="P24" s="100"/>
      <c r="Q24" s="52"/>
      <c r="R24" s="130" t="s">
        <v>998</v>
      </c>
      <c r="S24" s="130" t="s">
        <v>1049</v>
      </c>
    </row>
    <row r="25" spans="1:19" ht="45">
      <c r="A25" s="4" t="s">
        <v>526</v>
      </c>
      <c r="B25" s="4" t="s">
        <v>210</v>
      </c>
      <c r="C25" s="4" t="s">
        <v>211</v>
      </c>
      <c r="D25" s="4" t="s">
        <v>212</v>
      </c>
      <c r="E25" s="6" t="s">
        <v>1050</v>
      </c>
      <c r="F25" s="7" t="s">
        <v>1051</v>
      </c>
      <c r="G25" s="4" t="s">
        <v>391</v>
      </c>
      <c r="H25" s="8" t="s">
        <v>993</v>
      </c>
      <c r="I25" s="7" t="s">
        <v>994</v>
      </c>
      <c r="J25" s="7" t="s">
        <v>995</v>
      </c>
      <c r="K25" s="4" t="s">
        <v>45</v>
      </c>
      <c r="L25" s="5" t="s">
        <v>532</v>
      </c>
      <c r="M25" s="5" t="s">
        <v>997</v>
      </c>
      <c r="N25" s="42">
        <v>45690</v>
      </c>
      <c r="O25" s="42">
        <v>45694</v>
      </c>
      <c r="P25" s="100"/>
      <c r="Q25" s="52"/>
      <c r="R25" s="130" t="s">
        <v>998</v>
      </c>
      <c r="S25" s="130" t="s">
        <v>1052</v>
      </c>
    </row>
    <row r="26" spans="1:19" ht="45">
      <c r="A26" s="4" t="s">
        <v>526</v>
      </c>
      <c r="B26" s="4" t="s">
        <v>210</v>
      </c>
      <c r="C26" s="4" t="s">
        <v>211</v>
      </c>
      <c r="D26" s="4" t="s">
        <v>212</v>
      </c>
      <c r="E26" s="6" t="s">
        <v>1053</v>
      </c>
      <c r="F26" s="7" t="s">
        <v>1054</v>
      </c>
      <c r="G26" s="4" t="s">
        <v>391</v>
      </c>
      <c r="H26" s="8" t="s">
        <v>993</v>
      </c>
      <c r="I26" s="7" t="s">
        <v>994</v>
      </c>
      <c r="J26" s="7" t="s">
        <v>995</v>
      </c>
      <c r="K26" s="4" t="s">
        <v>45</v>
      </c>
      <c r="L26" s="5" t="s">
        <v>1055</v>
      </c>
      <c r="M26" s="5" t="s">
        <v>997</v>
      </c>
      <c r="N26" s="42">
        <v>45690</v>
      </c>
      <c r="O26" s="42">
        <v>45694</v>
      </c>
      <c r="P26" s="100"/>
      <c r="Q26" s="52"/>
      <c r="R26" s="130" t="s">
        <v>998</v>
      </c>
      <c r="S26" s="130" t="s">
        <v>1056</v>
      </c>
    </row>
    <row r="27" spans="1:19" ht="45">
      <c r="A27" s="4" t="s">
        <v>526</v>
      </c>
      <c r="B27" s="4" t="s">
        <v>210</v>
      </c>
      <c r="C27" s="4" t="s">
        <v>211</v>
      </c>
      <c r="D27" s="4" t="s">
        <v>212</v>
      </c>
      <c r="E27" s="6" t="s">
        <v>1057</v>
      </c>
      <c r="F27" s="7" t="s">
        <v>1058</v>
      </c>
      <c r="G27" s="4" t="s">
        <v>391</v>
      </c>
      <c r="H27" s="8" t="s">
        <v>993</v>
      </c>
      <c r="I27" s="7" t="s">
        <v>994</v>
      </c>
      <c r="J27" s="7" t="s">
        <v>995</v>
      </c>
      <c r="K27" s="4" t="s">
        <v>45</v>
      </c>
      <c r="L27" s="5" t="s">
        <v>732</v>
      </c>
      <c r="M27" s="5" t="s">
        <v>997</v>
      </c>
      <c r="N27" s="42">
        <v>45690</v>
      </c>
      <c r="O27" s="42">
        <v>45694</v>
      </c>
      <c r="P27" s="100"/>
      <c r="Q27" s="52"/>
      <c r="R27" s="130" t="s">
        <v>998</v>
      </c>
      <c r="S27" s="130" t="s">
        <v>1059</v>
      </c>
    </row>
    <row r="28" spans="1:19" ht="45">
      <c r="A28" s="4" t="s">
        <v>526</v>
      </c>
      <c r="B28" s="4" t="s">
        <v>210</v>
      </c>
      <c r="C28" s="4" t="s">
        <v>211</v>
      </c>
      <c r="D28" s="4" t="s">
        <v>212</v>
      </c>
      <c r="E28" s="6" t="s">
        <v>1060</v>
      </c>
      <c r="F28" s="7" t="s">
        <v>1061</v>
      </c>
      <c r="G28" s="4" t="s">
        <v>391</v>
      </c>
      <c r="H28" s="8" t="s">
        <v>993</v>
      </c>
      <c r="I28" s="7" t="s">
        <v>994</v>
      </c>
      <c r="J28" s="7" t="s">
        <v>995</v>
      </c>
      <c r="K28" s="4" t="s">
        <v>45</v>
      </c>
      <c r="L28" s="5" t="s">
        <v>732</v>
      </c>
      <c r="M28" s="5" t="s">
        <v>997</v>
      </c>
      <c r="N28" s="42">
        <v>45690</v>
      </c>
      <c r="O28" s="42">
        <v>45694</v>
      </c>
      <c r="P28" s="100"/>
      <c r="Q28" s="52"/>
      <c r="R28" s="130" t="s">
        <v>998</v>
      </c>
      <c r="S28" s="130" t="s">
        <v>1062</v>
      </c>
    </row>
    <row r="29" spans="1:19" ht="48.6" customHeight="1">
      <c r="A29" s="9" t="s">
        <v>526</v>
      </c>
      <c r="B29" s="9" t="s">
        <v>210</v>
      </c>
      <c r="C29" s="9" t="s">
        <v>211</v>
      </c>
      <c r="D29" s="9" t="s">
        <v>212</v>
      </c>
      <c r="E29" s="12" t="s">
        <v>1063</v>
      </c>
      <c r="F29" s="8" t="s">
        <v>1064</v>
      </c>
      <c r="G29" s="9" t="s">
        <v>1065</v>
      </c>
      <c r="H29" s="8" t="s">
        <v>1066</v>
      </c>
      <c r="I29" s="8" t="s">
        <v>1067</v>
      </c>
      <c r="J29" s="8" t="s">
        <v>1068</v>
      </c>
      <c r="K29" s="4" t="s">
        <v>45</v>
      </c>
      <c r="L29" s="4" t="s">
        <v>732</v>
      </c>
      <c r="M29" s="5" t="s">
        <v>997</v>
      </c>
      <c r="N29" s="42">
        <v>45690</v>
      </c>
      <c r="O29" s="42">
        <v>45694</v>
      </c>
      <c r="P29" s="100"/>
      <c r="Q29" s="52"/>
      <c r="R29" s="133" t="s">
        <v>1069</v>
      </c>
      <c r="S29" s="133" t="s">
        <v>1070</v>
      </c>
    </row>
    <row r="30" spans="1:19" ht="90">
      <c r="A30" s="9" t="s">
        <v>526</v>
      </c>
      <c r="B30" s="9" t="s">
        <v>210</v>
      </c>
      <c r="C30" s="9" t="s">
        <v>211</v>
      </c>
      <c r="D30" s="9" t="s">
        <v>212</v>
      </c>
      <c r="E30" s="12" t="s">
        <v>1071</v>
      </c>
      <c r="F30" s="8" t="s">
        <v>1072</v>
      </c>
      <c r="G30" s="9" t="s">
        <v>1065</v>
      </c>
      <c r="H30" s="8" t="s">
        <v>1073</v>
      </c>
      <c r="I30" s="8" t="s">
        <v>1074</v>
      </c>
      <c r="J30" s="8" t="s">
        <v>1075</v>
      </c>
      <c r="K30" s="4" t="s">
        <v>45</v>
      </c>
      <c r="L30" s="4" t="s">
        <v>532</v>
      </c>
      <c r="M30" s="5" t="s">
        <v>997</v>
      </c>
      <c r="N30" s="42">
        <v>45690</v>
      </c>
      <c r="O30" s="42">
        <v>45694</v>
      </c>
      <c r="P30" s="100"/>
      <c r="Q30" s="52"/>
      <c r="R30" s="133" t="s">
        <v>1076</v>
      </c>
      <c r="S30" s="148" t="s">
        <v>1077</v>
      </c>
    </row>
    <row r="31" spans="1:19" ht="55.7" customHeight="1">
      <c r="A31" s="9" t="s">
        <v>526</v>
      </c>
      <c r="B31" s="9" t="s">
        <v>210</v>
      </c>
      <c r="C31" s="9" t="s">
        <v>211</v>
      </c>
      <c r="D31" s="9" t="s">
        <v>212</v>
      </c>
      <c r="E31" s="12" t="s">
        <v>1078</v>
      </c>
      <c r="F31" s="8" t="s">
        <v>1079</v>
      </c>
      <c r="G31" s="9" t="s">
        <v>1065</v>
      </c>
      <c r="H31" s="8" t="s">
        <v>1066</v>
      </c>
      <c r="I31" s="8" t="s">
        <v>1080</v>
      </c>
      <c r="J31" s="8" t="s">
        <v>1081</v>
      </c>
      <c r="K31" s="4" t="s">
        <v>45</v>
      </c>
      <c r="L31" s="4" t="s">
        <v>732</v>
      </c>
      <c r="M31" s="5" t="s">
        <v>1082</v>
      </c>
      <c r="N31" s="42">
        <v>45690</v>
      </c>
      <c r="O31" s="42">
        <v>45694</v>
      </c>
      <c r="P31" s="100"/>
      <c r="Q31" s="52"/>
      <c r="R31" s="148" t="s">
        <v>1083</v>
      </c>
      <c r="S31" s="148" t="s">
        <v>1084</v>
      </c>
    </row>
    <row r="32" spans="1:19" ht="135">
      <c r="A32" s="9" t="s">
        <v>526</v>
      </c>
      <c r="B32" s="9" t="s">
        <v>210</v>
      </c>
      <c r="C32" s="9" t="s">
        <v>211</v>
      </c>
      <c r="D32" s="9" t="s">
        <v>212</v>
      </c>
      <c r="E32" s="12" t="s">
        <v>1085</v>
      </c>
      <c r="F32" s="8" t="s">
        <v>1079</v>
      </c>
      <c r="G32" s="9" t="s">
        <v>1065</v>
      </c>
      <c r="H32" s="8" t="s">
        <v>1086</v>
      </c>
      <c r="I32" s="8" t="s">
        <v>1087</v>
      </c>
      <c r="J32" s="8" t="s">
        <v>1081</v>
      </c>
      <c r="K32" s="4" t="s">
        <v>45</v>
      </c>
      <c r="L32" s="4" t="s">
        <v>732</v>
      </c>
      <c r="M32" s="5" t="s">
        <v>1082</v>
      </c>
      <c r="N32" s="42">
        <v>45690</v>
      </c>
      <c r="O32" s="42">
        <v>45694</v>
      </c>
      <c r="P32" s="100"/>
      <c r="Q32" s="52"/>
      <c r="R32" s="148" t="s">
        <v>1088</v>
      </c>
      <c r="S32" s="148" t="s">
        <v>1089</v>
      </c>
    </row>
    <row r="33" spans="1:19" ht="135">
      <c r="A33" s="9" t="s">
        <v>526</v>
      </c>
      <c r="B33" s="9" t="s">
        <v>210</v>
      </c>
      <c r="C33" s="9" t="s">
        <v>211</v>
      </c>
      <c r="D33" s="9" t="s">
        <v>212</v>
      </c>
      <c r="E33" s="12" t="s">
        <v>1090</v>
      </c>
      <c r="F33" s="8" t="s">
        <v>1091</v>
      </c>
      <c r="G33" s="9" t="s">
        <v>1065</v>
      </c>
      <c r="H33" s="8" t="s">
        <v>1066</v>
      </c>
      <c r="I33" s="8" t="s">
        <v>1092</v>
      </c>
      <c r="J33" s="8" t="s">
        <v>1093</v>
      </c>
      <c r="K33" s="4" t="s">
        <v>45</v>
      </c>
      <c r="L33" s="4" t="s">
        <v>732</v>
      </c>
      <c r="M33" s="5" t="s">
        <v>1082</v>
      </c>
      <c r="N33" s="42">
        <v>45690</v>
      </c>
      <c r="O33" s="42">
        <v>45694</v>
      </c>
      <c r="P33" s="100"/>
      <c r="Q33" s="52"/>
      <c r="R33" s="148" t="s">
        <v>1094</v>
      </c>
      <c r="S33" s="148" t="s">
        <v>1095</v>
      </c>
    </row>
    <row r="34" spans="1:19" ht="75">
      <c r="A34" s="9" t="s">
        <v>526</v>
      </c>
      <c r="B34" s="9" t="s">
        <v>210</v>
      </c>
      <c r="C34" s="9" t="s">
        <v>211</v>
      </c>
      <c r="D34" s="9" t="s">
        <v>212</v>
      </c>
      <c r="E34" s="12" t="s">
        <v>1096</v>
      </c>
      <c r="F34" s="8" t="s">
        <v>1097</v>
      </c>
      <c r="G34" s="9" t="s">
        <v>1065</v>
      </c>
      <c r="H34" s="8" t="s">
        <v>1066</v>
      </c>
      <c r="I34" s="8" t="s">
        <v>1098</v>
      </c>
      <c r="J34" s="8" t="s">
        <v>1099</v>
      </c>
      <c r="K34" s="4" t="s">
        <v>45</v>
      </c>
      <c r="L34" s="4" t="s">
        <v>732</v>
      </c>
      <c r="M34" s="5" t="s">
        <v>1082</v>
      </c>
      <c r="N34" s="42">
        <v>45690</v>
      </c>
      <c r="O34" s="42">
        <v>45694</v>
      </c>
      <c r="P34" s="100"/>
      <c r="Q34" s="52"/>
      <c r="R34" s="149" t="s">
        <v>1100</v>
      </c>
      <c r="S34" s="150" t="s">
        <v>1101</v>
      </c>
    </row>
    <row r="35" spans="1:19" ht="150">
      <c r="A35" s="9" t="s">
        <v>526</v>
      </c>
      <c r="B35" s="9" t="s">
        <v>210</v>
      </c>
      <c r="C35" s="9" t="s">
        <v>211</v>
      </c>
      <c r="D35" s="9" t="s">
        <v>212</v>
      </c>
      <c r="E35" s="12" t="s">
        <v>1102</v>
      </c>
      <c r="F35" s="8" t="s">
        <v>1103</v>
      </c>
      <c r="G35" s="9" t="s">
        <v>1065</v>
      </c>
      <c r="H35" s="8" t="s">
        <v>1066</v>
      </c>
      <c r="I35" s="8" t="s">
        <v>1104</v>
      </c>
      <c r="J35" s="8" t="s">
        <v>1105</v>
      </c>
      <c r="K35" s="4" t="s">
        <v>45</v>
      </c>
      <c r="L35" s="4" t="s">
        <v>732</v>
      </c>
      <c r="M35" s="5" t="s">
        <v>1082</v>
      </c>
      <c r="N35" s="42">
        <v>45690</v>
      </c>
      <c r="O35" s="42">
        <v>45694</v>
      </c>
      <c r="P35" s="100"/>
      <c r="Q35" s="52"/>
      <c r="R35" s="151" t="s">
        <v>1106</v>
      </c>
      <c r="S35" s="152" t="s">
        <v>1107</v>
      </c>
    </row>
    <row r="36" spans="1:19" ht="150">
      <c r="A36" s="9" t="s">
        <v>526</v>
      </c>
      <c r="B36" s="9" t="s">
        <v>210</v>
      </c>
      <c r="C36" s="9" t="s">
        <v>211</v>
      </c>
      <c r="D36" s="9" t="s">
        <v>212</v>
      </c>
      <c r="E36" s="12" t="s">
        <v>1108</v>
      </c>
      <c r="F36" s="8" t="s">
        <v>1109</v>
      </c>
      <c r="G36" s="9" t="s">
        <v>1065</v>
      </c>
      <c r="H36" s="8" t="s">
        <v>1086</v>
      </c>
      <c r="I36" s="8" t="s">
        <v>1110</v>
      </c>
      <c r="J36" s="8" t="s">
        <v>1111</v>
      </c>
      <c r="K36" s="4" t="s">
        <v>45</v>
      </c>
      <c r="L36" s="4" t="s">
        <v>732</v>
      </c>
      <c r="M36" s="5" t="s">
        <v>1082</v>
      </c>
      <c r="N36" s="42">
        <v>45690</v>
      </c>
      <c r="O36" s="42">
        <v>45694</v>
      </c>
      <c r="P36" s="100"/>
      <c r="Q36" s="52"/>
      <c r="R36" s="151" t="s">
        <v>1112</v>
      </c>
      <c r="S36" s="152" t="s">
        <v>1113</v>
      </c>
    </row>
    <row r="37" spans="1:19" ht="60">
      <c r="A37" s="9" t="s">
        <v>526</v>
      </c>
      <c r="B37" s="9" t="s">
        <v>210</v>
      </c>
      <c r="C37" s="9" t="s">
        <v>211</v>
      </c>
      <c r="D37" s="9" t="s">
        <v>212</v>
      </c>
      <c r="E37" s="12" t="s">
        <v>1114</v>
      </c>
      <c r="F37" s="8" t="s">
        <v>1115</v>
      </c>
      <c r="G37" s="9" t="s">
        <v>1065</v>
      </c>
      <c r="H37" s="8" t="s">
        <v>1116</v>
      </c>
      <c r="I37" s="8" t="s">
        <v>1117</v>
      </c>
      <c r="J37" s="8" t="s">
        <v>1118</v>
      </c>
      <c r="K37" s="4" t="s">
        <v>45</v>
      </c>
      <c r="L37" s="4" t="s">
        <v>732</v>
      </c>
      <c r="M37" s="5" t="s">
        <v>997</v>
      </c>
      <c r="N37" s="42">
        <v>45690</v>
      </c>
      <c r="O37" s="42">
        <v>45694</v>
      </c>
      <c r="P37" s="42"/>
      <c r="Q37" s="52"/>
      <c r="R37" s="153" t="s">
        <v>1119</v>
      </c>
      <c r="S37" s="154" t="s">
        <v>1120</v>
      </c>
    </row>
    <row r="38" spans="1:19">
      <c r="Q38" s="113">
        <f>(COUNTIF(Q2:Q37,"OK")/(COUNTBLANK(Q2:Q37)+(COUNTA(Q2:Q37)-(COUNTIF(Q2:Q37,"N/A")))))</f>
        <v>0</v>
      </c>
      <c r="R38" s="136" t="s">
        <v>195</v>
      </c>
    </row>
    <row r="39" spans="1:19">
      <c r="Q39" s="13">
        <f>COUNTBLANK(Q2:Q37)+(COUNTA(Q2:Q37)-(COUNTIF(Q2:Q37,"N/A"))-(COUNTIF(Q2:Q37,"OK"))-(COUNTIF(Q2:Q37,"KO")))</f>
        <v>36</v>
      </c>
      <c r="R39" s="127" t="s">
        <v>196</v>
      </c>
    </row>
    <row r="40" spans="1:19">
      <c r="Q40" s="13">
        <f>COUNTIF(Q2:Q37,"KO")</f>
        <v>0</v>
      </c>
      <c r="R40" s="127" t="s">
        <v>3</v>
      </c>
    </row>
    <row r="41" spans="1:19">
      <c r="Q41" s="13">
        <f>COUNTIF(Q2:Q37,"OK")</f>
        <v>0</v>
      </c>
      <c r="R41" s="127" t="s">
        <v>2</v>
      </c>
    </row>
    <row r="42" spans="1:19">
      <c r="Q42" s="13">
        <f>COUNTBLANK(Q2:Q37)+(COUNTA(Q2:Q37)-(COUNTIF(Q2:Q37,"N/A")))</f>
        <v>36</v>
      </c>
      <c r="R42" s="127" t="s">
        <v>197</v>
      </c>
    </row>
  </sheetData>
  <phoneticPr fontId="19"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99B67DE-1CB9-40C2-A71E-861A70F52FF9}">
          <x14:formula1>
            <xm:f>Listados!$A$2:$A$5</xm:f>
          </x14:formula1>
          <xm:sqref>Q2:Q37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7C14C-AE49-4948-A69B-E6253480F1C6}">
  <dimension ref="A1:S11"/>
  <sheetViews>
    <sheetView topLeftCell="J3" zoomScale="90" zoomScaleNormal="90" workbookViewId="0">
      <selection activeCell="R13" sqref="R13"/>
    </sheetView>
  </sheetViews>
  <sheetFormatPr defaultColWidth="11.42578125" defaultRowHeight="15"/>
  <cols>
    <col min="1" max="1" width="36.42578125" customWidth="1"/>
    <col min="6" max="6" width="38.85546875" customWidth="1"/>
    <col min="7" max="7" width="16.85546875" customWidth="1"/>
    <col min="8" max="8" width="43" customWidth="1"/>
    <col min="9" max="9" width="46.140625" customWidth="1"/>
    <col min="10" max="10" width="32.42578125" customWidth="1"/>
    <col min="11" max="11" width="18.140625" customWidth="1"/>
    <col min="13" max="13" width="16.140625" customWidth="1"/>
    <col min="14" max="14" width="11.140625" bestFit="1" customWidth="1"/>
    <col min="16" max="16" width="14.28515625" bestFit="1" customWidth="1"/>
    <col min="17" max="17" width="17.42578125" customWidth="1"/>
    <col min="18" max="18" width="25.7109375" customWidth="1"/>
    <col min="19" max="19" width="27.28515625" customWidth="1"/>
  </cols>
  <sheetData>
    <row r="1" spans="1:19" ht="30">
      <c r="A1" s="1" t="s">
        <v>198</v>
      </c>
      <c r="B1" s="1" t="s">
        <v>199</v>
      </c>
      <c r="C1" s="1" t="s">
        <v>200</v>
      </c>
      <c r="D1" s="1" t="s">
        <v>201</v>
      </c>
      <c r="E1" s="1" t="s">
        <v>202</v>
      </c>
      <c r="F1" s="10" t="s">
        <v>203</v>
      </c>
      <c r="G1" s="1" t="s">
        <v>204</v>
      </c>
      <c r="H1" s="10" t="s">
        <v>205</v>
      </c>
      <c r="I1" s="10" t="s">
        <v>206</v>
      </c>
      <c r="J1" s="10" t="s">
        <v>28</v>
      </c>
      <c r="K1" s="11" t="s">
        <v>29</v>
      </c>
      <c r="L1" s="3" t="s">
        <v>525</v>
      </c>
      <c r="M1" s="3" t="s">
        <v>30</v>
      </c>
      <c r="N1" s="2" t="s">
        <v>31</v>
      </c>
      <c r="O1" s="2" t="s">
        <v>32</v>
      </c>
      <c r="P1" s="3" t="s">
        <v>33</v>
      </c>
      <c r="Q1" s="3" t="s">
        <v>34</v>
      </c>
      <c r="R1" s="2" t="s">
        <v>207</v>
      </c>
      <c r="S1" s="2" t="s">
        <v>208</v>
      </c>
    </row>
    <row r="2" spans="1:19" ht="54" customHeight="1">
      <c r="A2" s="9" t="s">
        <v>526</v>
      </c>
      <c r="B2" s="9" t="s">
        <v>210</v>
      </c>
      <c r="C2" s="9" t="s">
        <v>211</v>
      </c>
      <c r="D2" s="9" t="s">
        <v>212</v>
      </c>
      <c r="E2" s="12" t="s">
        <v>1121</v>
      </c>
      <c r="F2" s="8" t="s">
        <v>1122</v>
      </c>
      <c r="G2" s="9" t="s">
        <v>1065</v>
      </c>
      <c r="H2" s="8" t="s">
        <v>1123</v>
      </c>
      <c r="I2" s="8" t="s">
        <v>1124</v>
      </c>
      <c r="J2" s="8" t="s">
        <v>1125</v>
      </c>
      <c r="K2" s="9" t="s">
        <v>45</v>
      </c>
      <c r="L2" s="45" t="s">
        <v>732</v>
      </c>
      <c r="M2" s="7" t="s">
        <v>1126</v>
      </c>
      <c r="N2" s="47">
        <v>45690</v>
      </c>
      <c r="O2" s="47">
        <v>45694</v>
      </c>
      <c r="P2" s="47"/>
      <c r="Q2" s="7"/>
      <c r="R2" s="54" t="s">
        <v>1127</v>
      </c>
      <c r="S2" s="54" t="s">
        <v>1128</v>
      </c>
    </row>
    <row r="3" spans="1:19" ht="50.45" customHeight="1">
      <c r="A3" s="9" t="s">
        <v>526</v>
      </c>
      <c r="B3" s="9" t="s">
        <v>210</v>
      </c>
      <c r="C3" s="9" t="s">
        <v>211</v>
      </c>
      <c r="D3" s="9" t="s">
        <v>212</v>
      </c>
      <c r="E3" s="12" t="s">
        <v>1129</v>
      </c>
      <c r="F3" s="8" t="s">
        <v>1130</v>
      </c>
      <c r="G3" s="9" t="s">
        <v>1065</v>
      </c>
      <c r="H3" s="8" t="s">
        <v>1123</v>
      </c>
      <c r="I3" s="8" t="s">
        <v>1131</v>
      </c>
      <c r="J3" s="8" t="s">
        <v>1132</v>
      </c>
      <c r="K3" s="9" t="s">
        <v>45</v>
      </c>
      <c r="L3" s="45" t="s">
        <v>532</v>
      </c>
      <c r="M3" s="7" t="s">
        <v>1126</v>
      </c>
      <c r="N3" s="47">
        <v>45690</v>
      </c>
      <c r="O3" s="47">
        <v>45694</v>
      </c>
      <c r="P3" s="47"/>
      <c r="Q3" s="7"/>
      <c r="R3" s="54" t="s">
        <v>1133</v>
      </c>
      <c r="S3" s="55" t="s">
        <v>1134</v>
      </c>
    </row>
    <row r="4" spans="1:19" ht="75">
      <c r="A4" s="9" t="s">
        <v>526</v>
      </c>
      <c r="B4" s="9" t="s">
        <v>210</v>
      </c>
      <c r="C4" s="9" t="s">
        <v>211</v>
      </c>
      <c r="D4" s="9" t="s">
        <v>212</v>
      </c>
      <c r="E4" s="12" t="s">
        <v>1135</v>
      </c>
      <c r="F4" s="8" t="s">
        <v>1136</v>
      </c>
      <c r="G4" s="9" t="s">
        <v>1065</v>
      </c>
      <c r="H4" s="8" t="s">
        <v>1137</v>
      </c>
      <c r="I4" s="8" t="s">
        <v>1138</v>
      </c>
      <c r="J4" s="8" t="s">
        <v>1139</v>
      </c>
      <c r="K4" s="9" t="s">
        <v>45</v>
      </c>
      <c r="L4" s="45" t="s">
        <v>532</v>
      </c>
      <c r="M4" s="7" t="s">
        <v>1126</v>
      </c>
      <c r="N4" s="47">
        <v>45690</v>
      </c>
      <c r="O4" s="47">
        <v>45694</v>
      </c>
      <c r="P4" s="47"/>
      <c r="Q4" s="7"/>
      <c r="R4" s="56" t="s">
        <v>1140</v>
      </c>
      <c r="S4" s="57" t="s">
        <v>1141</v>
      </c>
    </row>
    <row r="5" spans="1:19" ht="75">
      <c r="A5" s="9" t="s">
        <v>526</v>
      </c>
      <c r="B5" s="9" t="s">
        <v>210</v>
      </c>
      <c r="C5" s="9" t="s">
        <v>211</v>
      </c>
      <c r="D5" s="9" t="s">
        <v>212</v>
      </c>
      <c r="E5" s="12" t="s">
        <v>1142</v>
      </c>
      <c r="F5" s="8" t="s">
        <v>1143</v>
      </c>
      <c r="G5" s="9" t="s">
        <v>1065</v>
      </c>
      <c r="H5" s="8" t="s">
        <v>1123</v>
      </c>
      <c r="I5" s="8" t="s">
        <v>1144</v>
      </c>
      <c r="J5" s="8" t="s">
        <v>1145</v>
      </c>
      <c r="K5" s="9" t="s">
        <v>45</v>
      </c>
      <c r="L5" s="45" t="s">
        <v>532</v>
      </c>
      <c r="M5" s="7" t="s">
        <v>1126</v>
      </c>
      <c r="N5" s="47">
        <v>45690</v>
      </c>
      <c r="O5" s="47">
        <v>45694</v>
      </c>
      <c r="P5" s="47"/>
      <c r="Q5" s="7"/>
      <c r="R5" s="56" t="s">
        <v>1146</v>
      </c>
      <c r="S5" s="57" t="s">
        <v>1147</v>
      </c>
    </row>
    <row r="6" spans="1:19" ht="105">
      <c r="A6" s="9" t="s">
        <v>526</v>
      </c>
      <c r="B6" s="9" t="s">
        <v>210</v>
      </c>
      <c r="C6" s="9" t="s">
        <v>211</v>
      </c>
      <c r="D6" s="9" t="s">
        <v>212</v>
      </c>
      <c r="E6" s="12" t="s">
        <v>1148</v>
      </c>
      <c r="F6" s="8" t="s">
        <v>1149</v>
      </c>
      <c r="G6" s="9" t="s">
        <v>1065</v>
      </c>
      <c r="H6" s="8" t="s">
        <v>1123</v>
      </c>
      <c r="I6" s="8" t="s">
        <v>1150</v>
      </c>
      <c r="J6" s="8" t="s">
        <v>1151</v>
      </c>
      <c r="K6" s="9" t="s">
        <v>45</v>
      </c>
      <c r="L6" s="45" t="s">
        <v>532</v>
      </c>
      <c r="M6" s="7" t="s">
        <v>1126</v>
      </c>
      <c r="N6" s="47">
        <v>45690</v>
      </c>
      <c r="O6" s="47">
        <v>45694</v>
      </c>
      <c r="P6" s="47"/>
      <c r="Q6" s="7"/>
      <c r="R6" s="56" t="s">
        <v>1152</v>
      </c>
      <c r="S6" s="57" t="s">
        <v>1153</v>
      </c>
    </row>
    <row r="7" spans="1:19">
      <c r="Q7" s="113">
        <f>(COUNTIF(Q2:Q6,"OK")/(COUNTBLANK(Q2:Q6)+(COUNTA(Q2:Q6)-(COUNTIF(Q2:Q6,"N/A")))))</f>
        <v>0</v>
      </c>
      <c r="R7" s="114" t="s">
        <v>195</v>
      </c>
    </row>
    <row r="8" spans="1:19">
      <c r="Q8" s="13">
        <f>COUNTBLANK(Q2:Q6)+(COUNTA(Q2:Q6)-(COUNTIF(Q2:Q6,"N/A"))-(COUNTIF(Q2:Q6,"OK"))-(COUNTIF(Q2:Q6,"KO")))</f>
        <v>5</v>
      </c>
      <c r="R8" s="13" t="s">
        <v>196</v>
      </c>
    </row>
    <row r="9" spans="1:19">
      <c r="Q9" s="13">
        <f>COUNTIF(Q2:Q6,"KO")</f>
        <v>0</v>
      </c>
      <c r="R9" s="13" t="s">
        <v>3</v>
      </c>
    </row>
    <row r="10" spans="1:19">
      <c r="Q10" s="13">
        <f>COUNTIF(Q2:Q6,"OK")</f>
        <v>0</v>
      </c>
      <c r="R10" s="13" t="s">
        <v>2</v>
      </c>
    </row>
    <row r="11" spans="1:19">
      <c r="Q11" s="13">
        <f>COUNTBLANK(Q2:Q6)+(COUNTA(Q2:Q6)-(COUNTIF(Q2:Q6,"N/A")))</f>
        <v>5</v>
      </c>
      <c r="R11" s="13" t="s">
        <v>197</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43D139A-FB9B-41D0-8092-C590946AED5B}">
          <x14:formula1>
            <xm:f>Listados!$A$2:$A$5</xm:f>
          </x14:formula1>
          <xm:sqref>Q2:Q6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1B335-D838-41E8-B582-6A5BCF6E129C}">
  <sheetPr>
    <pageSetUpPr fitToPage="1"/>
  </sheetPr>
  <dimension ref="A1:AM62"/>
  <sheetViews>
    <sheetView tabSelected="1" topLeftCell="N1" zoomScale="80" zoomScaleNormal="80" workbookViewId="0">
      <selection activeCell="U67" sqref="U67"/>
    </sheetView>
  </sheetViews>
  <sheetFormatPr defaultColWidth="11.42578125" defaultRowHeight="15"/>
  <cols>
    <col min="1" max="1" width="15.5703125" customWidth="1"/>
    <col min="2" max="2" width="50.42578125" customWidth="1"/>
    <col min="3" max="3" width="16.28515625" customWidth="1"/>
    <col min="4" max="4" width="8.5703125" customWidth="1"/>
    <col min="5" max="5" width="26.28515625" customWidth="1"/>
    <col min="6" max="6" width="31.7109375" customWidth="1"/>
    <col min="7" max="7" width="28.42578125" customWidth="1"/>
    <col min="8" max="8" width="17.42578125" customWidth="1"/>
    <col min="9" max="10" width="13" customWidth="1"/>
    <col min="11" max="11" width="24" customWidth="1"/>
    <col min="12" max="12" width="15.28515625" customWidth="1"/>
    <col min="13" max="13" width="12" customWidth="1"/>
    <col min="14" max="14" width="53.42578125" customWidth="1"/>
    <col min="15" max="15" width="63.7109375" customWidth="1"/>
    <col min="16" max="16" width="16.140625" customWidth="1"/>
    <col min="17" max="17" width="10.42578125" hidden="1" customWidth="1"/>
    <col min="18" max="18" width="19.5703125" hidden="1" customWidth="1"/>
    <col min="19" max="19" width="12" hidden="1" customWidth="1"/>
    <col min="20" max="20" width="12.7109375" hidden="1" customWidth="1"/>
    <col min="21" max="21" width="85.42578125" customWidth="1"/>
    <col min="22" max="22" width="47.85546875" customWidth="1"/>
    <col min="23" max="23" width="13" customWidth="1"/>
    <col min="24" max="24" width="13.7109375" customWidth="1"/>
    <col min="25" max="25" width="17.42578125" customWidth="1"/>
    <col min="26" max="26" width="11.42578125" customWidth="1"/>
    <col min="27" max="27" width="10.85546875" customWidth="1"/>
    <col min="28" max="28" width="16.7109375" customWidth="1"/>
    <col min="29" max="29" width="11.7109375" customWidth="1"/>
    <col min="30" max="30" width="17.85546875" customWidth="1"/>
    <col min="31" max="31" width="10.42578125" customWidth="1"/>
    <col min="32" max="32" width="15" customWidth="1"/>
    <col min="33" max="33" width="20.85546875" customWidth="1"/>
    <col min="34" max="34" width="19.7109375" customWidth="1"/>
    <col min="35" max="36" width="8.7109375" customWidth="1"/>
    <col min="37" max="37" width="14" customWidth="1"/>
    <col min="38" max="38" width="21.85546875" style="46" bestFit="1" customWidth="1"/>
    <col min="39" max="39" width="22" bestFit="1" customWidth="1"/>
    <col min="40" max="259" width="8.7109375" customWidth="1"/>
    <col min="260" max="260" width="23" customWidth="1"/>
    <col min="261" max="261" width="50.42578125" customWidth="1"/>
    <col min="262" max="262" width="16.28515625" customWidth="1"/>
    <col min="263" max="263" width="8.5703125" customWidth="1"/>
    <col min="264" max="264" width="26.28515625" customWidth="1"/>
    <col min="265" max="265" width="23" customWidth="1"/>
    <col min="266" max="266" width="28.42578125" customWidth="1"/>
    <col min="267" max="267" width="17.42578125" customWidth="1"/>
    <col min="268" max="269" width="13" customWidth="1"/>
    <col min="270" max="270" width="24" customWidth="1"/>
    <col min="271" max="271" width="15.28515625" customWidth="1"/>
    <col min="272" max="272" width="12" customWidth="1"/>
    <col min="273" max="273" width="87.85546875" customWidth="1"/>
    <col min="274" max="274" width="73.5703125" customWidth="1"/>
    <col min="275" max="276" width="16.28515625" customWidth="1"/>
    <col min="277" max="277" width="19.5703125" customWidth="1"/>
    <col min="278" max="278" width="12" customWidth="1"/>
    <col min="279" max="279" width="9.7109375" customWidth="1"/>
    <col min="280" max="280" width="15.28515625" customWidth="1"/>
    <col min="281" max="281" width="13" customWidth="1"/>
    <col min="282" max="282" width="12" customWidth="1"/>
    <col min="283" max="283" width="17.42578125" customWidth="1"/>
    <col min="284" max="284" width="26.28515625" customWidth="1"/>
    <col min="285" max="285" width="39.42578125" customWidth="1"/>
    <col min="286" max="286" width="21.85546875" customWidth="1"/>
    <col min="287" max="287" width="16.28515625" customWidth="1"/>
    <col min="288" max="288" width="28.42578125" customWidth="1"/>
    <col min="289" max="289" width="17.42578125" customWidth="1"/>
    <col min="290" max="290" width="29.5703125" customWidth="1"/>
    <col min="291" max="515" width="8.7109375" customWidth="1"/>
    <col min="516" max="516" width="23" customWidth="1"/>
    <col min="517" max="517" width="50.42578125" customWidth="1"/>
    <col min="518" max="518" width="16.28515625" customWidth="1"/>
    <col min="519" max="519" width="8.5703125" customWidth="1"/>
    <col min="520" max="520" width="26.28515625" customWidth="1"/>
    <col min="521" max="521" width="23" customWidth="1"/>
    <col min="522" max="522" width="28.42578125" customWidth="1"/>
    <col min="523" max="523" width="17.42578125" customWidth="1"/>
    <col min="524" max="525" width="13" customWidth="1"/>
    <col min="526" max="526" width="24" customWidth="1"/>
    <col min="527" max="527" width="15.28515625" customWidth="1"/>
    <col min="528" max="528" width="12" customWidth="1"/>
    <col min="529" max="529" width="87.85546875" customWidth="1"/>
    <col min="530" max="530" width="73.5703125" customWidth="1"/>
    <col min="531" max="532" width="16.28515625" customWidth="1"/>
    <col min="533" max="533" width="19.5703125" customWidth="1"/>
    <col min="534" max="534" width="12" customWidth="1"/>
    <col min="535" max="535" width="9.7109375" customWidth="1"/>
    <col min="536" max="536" width="15.28515625" customWidth="1"/>
    <col min="537" max="537" width="13" customWidth="1"/>
    <col min="538" max="538" width="12" customWidth="1"/>
    <col min="539" max="539" width="17.42578125" customWidth="1"/>
    <col min="540" max="540" width="26.28515625" customWidth="1"/>
    <col min="541" max="541" width="39.42578125" customWidth="1"/>
    <col min="542" max="542" width="21.85546875" customWidth="1"/>
    <col min="543" max="543" width="16.28515625" customWidth="1"/>
    <col min="544" max="544" width="28.42578125" customWidth="1"/>
    <col min="545" max="545" width="17.42578125" customWidth="1"/>
    <col min="546" max="546" width="29.5703125" customWidth="1"/>
    <col min="547" max="771" width="8.7109375" customWidth="1"/>
    <col min="772" max="772" width="23" customWidth="1"/>
    <col min="773" max="773" width="50.42578125" customWidth="1"/>
    <col min="774" max="774" width="16.28515625" customWidth="1"/>
    <col min="775" max="775" width="8.5703125" customWidth="1"/>
    <col min="776" max="776" width="26.28515625" customWidth="1"/>
    <col min="777" max="777" width="23" customWidth="1"/>
    <col min="778" max="778" width="28.42578125" customWidth="1"/>
    <col min="779" max="779" width="17.42578125" customWidth="1"/>
    <col min="780" max="781" width="13" customWidth="1"/>
    <col min="782" max="782" width="24" customWidth="1"/>
    <col min="783" max="783" width="15.28515625" customWidth="1"/>
    <col min="784" max="784" width="12" customWidth="1"/>
    <col min="785" max="785" width="87.85546875" customWidth="1"/>
    <col min="786" max="786" width="73.5703125" customWidth="1"/>
    <col min="787" max="788" width="16.28515625" customWidth="1"/>
    <col min="789" max="789" width="19.5703125" customWidth="1"/>
    <col min="790" max="790" width="12" customWidth="1"/>
    <col min="791" max="791" width="9.7109375" customWidth="1"/>
    <col min="792" max="792" width="15.28515625" customWidth="1"/>
    <col min="793" max="793" width="13" customWidth="1"/>
    <col min="794" max="794" width="12" customWidth="1"/>
    <col min="795" max="795" width="17.42578125" customWidth="1"/>
    <col min="796" max="796" width="26.28515625" customWidth="1"/>
    <col min="797" max="797" width="39.42578125" customWidth="1"/>
    <col min="798" max="798" width="21.85546875" customWidth="1"/>
    <col min="799" max="799" width="16.28515625" customWidth="1"/>
    <col min="800" max="800" width="28.42578125" customWidth="1"/>
    <col min="801" max="801" width="17.42578125" customWidth="1"/>
    <col min="802" max="802" width="29.5703125" customWidth="1"/>
    <col min="803" max="1027" width="8.7109375" customWidth="1"/>
    <col min="1028" max="1028" width="23" customWidth="1"/>
    <col min="1029" max="1029" width="50.42578125" customWidth="1"/>
    <col min="1030" max="1030" width="16.28515625" customWidth="1"/>
    <col min="1031" max="1031" width="8.5703125" customWidth="1"/>
    <col min="1032" max="1032" width="26.28515625" customWidth="1"/>
    <col min="1033" max="1033" width="23" customWidth="1"/>
    <col min="1034" max="1034" width="28.42578125" customWidth="1"/>
    <col min="1035" max="1035" width="17.42578125" customWidth="1"/>
    <col min="1036" max="1037" width="13" customWidth="1"/>
    <col min="1038" max="1038" width="24" customWidth="1"/>
    <col min="1039" max="1039" width="15.28515625" customWidth="1"/>
    <col min="1040" max="1040" width="12" customWidth="1"/>
    <col min="1041" max="1041" width="87.85546875" customWidth="1"/>
    <col min="1042" max="1042" width="73.5703125" customWidth="1"/>
    <col min="1043" max="1044" width="16.28515625" customWidth="1"/>
    <col min="1045" max="1045" width="19.5703125" customWidth="1"/>
    <col min="1046" max="1046" width="12" customWidth="1"/>
    <col min="1047" max="1047" width="9.7109375" customWidth="1"/>
    <col min="1048" max="1048" width="15.28515625" customWidth="1"/>
    <col min="1049" max="1049" width="13" customWidth="1"/>
    <col min="1050" max="1050" width="12" customWidth="1"/>
    <col min="1051" max="1051" width="17.42578125" customWidth="1"/>
    <col min="1052" max="1052" width="26.28515625" customWidth="1"/>
    <col min="1053" max="1053" width="39.42578125" customWidth="1"/>
    <col min="1054" max="1054" width="21.85546875" customWidth="1"/>
    <col min="1055" max="1055" width="16.28515625" customWidth="1"/>
    <col min="1056" max="1056" width="28.42578125" customWidth="1"/>
    <col min="1057" max="1057" width="17.42578125" customWidth="1"/>
    <col min="1058" max="1058" width="29.5703125" customWidth="1"/>
    <col min="1059" max="1283" width="8.7109375" customWidth="1"/>
    <col min="1284" max="1284" width="23" customWidth="1"/>
    <col min="1285" max="1285" width="50.42578125" customWidth="1"/>
    <col min="1286" max="1286" width="16.28515625" customWidth="1"/>
    <col min="1287" max="1287" width="8.5703125" customWidth="1"/>
    <col min="1288" max="1288" width="26.28515625" customWidth="1"/>
    <col min="1289" max="1289" width="23" customWidth="1"/>
    <col min="1290" max="1290" width="28.42578125" customWidth="1"/>
    <col min="1291" max="1291" width="17.42578125" customWidth="1"/>
    <col min="1292" max="1293" width="13" customWidth="1"/>
    <col min="1294" max="1294" width="24" customWidth="1"/>
    <col min="1295" max="1295" width="15.28515625" customWidth="1"/>
    <col min="1296" max="1296" width="12" customWidth="1"/>
    <col min="1297" max="1297" width="87.85546875" customWidth="1"/>
    <col min="1298" max="1298" width="73.5703125" customWidth="1"/>
    <col min="1299" max="1300" width="16.28515625" customWidth="1"/>
    <col min="1301" max="1301" width="19.5703125" customWidth="1"/>
    <col min="1302" max="1302" width="12" customWidth="1"/>
    <col min="1303" max="1303" width="9.7109375" customWidth="1"/>
    <col min="1304" max="1304" width="15.28515625" customWidth="1"/>
    <col min="1305" max="1305" width="13" customWidth="1"/>
    <col min="1306" max="1306" width="12" customWidth="1"/>
    <col min="1307" max="1307" width="17.42578125" customWidth="1"/>
    <col min="1308" max="1308" width="26.28515625" customWidth="1"/>
    <col min="1309" max="1309" width="39.42578125" customWidth="1"/>
    <col min="1310" max="1310" width="21.85546875" customWidth="1"/>
    <col min="1311" max="1311" width="16.28515625" customWidth="1"/>
    <col min="1312" max="1312" width="28.42578125" customWidth="1"/>
    <col min="1313" max="1313" width="17.42578125" customWidth="1"/>
    <col min="1314" max="1314" width="29.5703125" customWidth="1"/>
    <col min="1315" max="1539" width="8.7109375" customWidth="1"/>
    <col min="1540" max="1540" width="23" customWidth="1"/>
    <col min="1541" max="1541" width="50.42578125" customWidth="1"/>
    <col min="1542" max="1542" width="16.28515625" customWidth="1"/>
    <col min="1543" max="1543" width="8.5703125" customWidth="1"/>
    <col min="1544" max="1544" width="26.28515625" customWidth="1"/>
    <col min="1545" max="1545" width="23" customWidth="1"/>
    <col min="1546" max="1546" width="28.42578125" customWidth="1"/>
    <col min="1547" max="1547" width="17.42578125" customWidth="1"/>
    <col min="1548" max="1549" width="13" customWidth="1"/>
    <col min="1550" max="1550" width="24" customWidth="1"/>
    <col min="1551" max="1551" width="15.28515625" customWidth="1"/>
    <col min="1552" max="1552" width="12" customWidth="1"/>
    <col min="1553" max="1553" width="87.85546875" customWidth="1"/>
    <col min="1554" max="1554" width="73.5703125" customWidth="1"/>
    <col min="1555" max="1556" width="16.28515625" customWidth="1"/>
    <col min="1557" max="1557" width="19.5703125" customWidth="1"/>
    <col min="1558" max="1558" width="12" customWidth="1"/>
    <col min="1559" max="1559" width="9.7109375" customWidth="1"/>
    <col min="1560" max="1560" width="15.28515625" customWidth="1"/>
    <col min="1561" max="1561" width="13" customWidth="1"/>
    <col min="1562" max="1562" width="12" customWidth="1"/>
    <col min="1563" max="1563" width="17.42578125" customWidth="1"/>
    <col min="1564" max="1564" width="26.28515625" customWidth="1"/>
    <col min="1565" max="1565" width="39.42578125" customWidth="1"/>
    <col min="1566" max="1566" width="21.85546875" customWidth="1"/>
    <col min="1567" max="1567" width="16.28515625" customWidth="1"/>
    <col min="1568" max="1568" width="28.42578125" customWidth="1"/>
    <col min="1569" max="1569" width="17.42578125" customWidth="1"/>
    <col min="1570" max="1570" width="29.5703125" customWidth="1"/>
    <col min="1571" max="1795" width="8.7109375" customWidth="1"/>
    <col min="1796" max="1796" width="23" customWidth="1"/>
    <col min="1797" max="1797" width="50.42578125" customWidth="1"/>
    <col min="1798" max="1798" width="16.28515625" customWidth="1"/>
    <col min="1799" max="1799" width="8.5703125" customWidth="1"/>
    <col min="1800" max="1800" width="26.28515625" customWidth="1"/>
    <col min="1801" max="1801" width="23" customWidth="1"/>
    <col min="1802" max="1802" width="28.42578125" customWidth="1"/>
    <col min="1803" max="1803" width="17.42578125" customWidth="1"/>
    <col min="1804" max="1805" width="13" customWidth="1"/>
    <col min="1806" max="1806" width="24" customWidth="1"/>
    <col min="1807" max="1807" width="15.28515625" customWidth="1"/>
    <col min="1808" max="1808" width="12" customWidth="1"/>
    <col min="1809" max="1809" width="87.85546875" customWidth="1"/>
    <col min="1810" max="1810" width="73.5703125" customWidth="1"/>
    <col min="1811" max="1812" width="16.28515625" customWidth="1"/>
    <col min="1813" max="1813" width="19.5703125" customWidth="1"/>
    <col min="1814" max="1814" width="12" customWidth="1"/>
    <col min="1815" max="1815" width="9.7109375" customWidth="1"/>
    <col min="1816" max="1816" width="15.28515625" customWidth="1"/>
    <col min="1817" max="1817" width="13" customWidth="1"/>
    <col min="1818" max="1818" width="12" customWidth="1"/>
    <col min="1819" max="1819" width="17.42578125" customWidth="1"/>
    <col min="1820" max="1820" width="26.28515625" customWidth="1"/>
    <col min="1821" max="1821" width="39.42578125" customWidth="1"/>
    <col min="1822" max="1822" width="21.85546875" customWidth="1"/>
    <col min="1823" max="1823" width="16.28515625" customWidth="1"/>
    <col min="1824" max="1824" width="28.42578125" customWidth="1"/>
    <col min="1825" max="1825" width="17.42578125" customWidth="1"/>
    <col min="1826" max="1826" width="29.5703125" customWidth="1"/>
    <col min="1827" max="2051" width="8.7109375" customWidth="1"/>
    <col min="2052" max="2052" width="23" customWidth="1"/>
    <col min="2053" max="2053" width="50.42578125" customWidth="1"/>
    <col min="2054" max="2054" width="16.28515625" customWidth="1"/>
    <col min="2055" max="2055" width="8.5703125" customWidth="1"/>
    <col min="2056" max="2056" width="26.28515625" customWidth="1"/>
    <col min="2057" max="2057" width="23" customWidth="1"/>
    <col min="2058" max="2058" width="28.42578125" customWidth="1"/>
    <col min="2059" max="2059" width="17.42578125" customWidth="1"/>
    <col min="2060" max="2061" width="13" customWidth="1"/>
    <col min="2062" max="2062" width="24" customWidth="1"/>
    <col min="2063" max="2063" width="15.28515625" customWidth="1"/>
    <col min="2064" max="2064" width="12" customWidth="1"/>
    <col min="2065" max="2065" width="87.85546875" customWidth="1"/>
    <col min="2066" max="2066" width="73.5703125" customWidth="1"/>
    <col min="2067" max="2068" width="16.28515625" customWidth="1"/>
    <col min="2069" max="2069" width="19.5703125" customWidth="1"/>
    <col min="2070" max="2070" width="12" customWidth="1"/>
    <col min="2071" max="2071" width="9.7109375" customWidth="1"/>
    <col min="2072" max="2072" width="15.28515625" customWidth="1"/>
    <col min="2073" max="2073" width="13" customWidth="1"/>
    <col min="2074" max="2074" width="12" customWidth="1"/>
    <col min="2075" max="2075" width="17.42578125" customWidth="1"/>
    <col min="2076" max="2076" width="26.28515625" customWidth="1"/>
    <col min="2077" max="2077" width="39.42578125" customWidth="1"/>
    <col min="2078" max="2078" width="21.85546875" customWidth="1"/>
    <col min="2079" max="2079" width="16.28515625" customWidth="1"/>
    <col min="2080" max="2080" width="28.42578125" customWidth="1"/>
    <col min="2081" max="2081" width="17.42578125" customWidth="1"/>
    <col min="2082" max="2082" width="29.5703125" customWidth="1"/>
    <col min="2083" max="2307" width="8.7109375" customWidth="1"/>
    <col min="2308" max="2308" width="23" customWidth="1"/>
    <col min="2309" max="2309" width="50.42578125" customWidth="1"/>
    <col min="2310" max="2310" width="16.28515625" customWidth="1"/>
    <col min="2311" max="2311" width="8.5703125" customWidth="1"/>
    <col min="2312" max="2312" width="26.28515625" customWidth="1"/>
    <col min="2313" max="2313" width="23" customWidth="1"/>
    <col min="2314" max="2314" width="28.42578125" customWidth="1"/>
    <col min="2315" max="2315" width="17.42578125" customWidth="1"/>
    <col min="2316" max="2317" width="13" customWidth="1"/>
    <col min="2318" max="2318" width="24" customWidth="1"/>
    <col min="2319" max="2319" width="15.28515625" customWidth="1"/>
    <col min="2320" max="2320" width="12" customWidth="1"/>
    <col min="2321" max="2321" width="87.85546875" customWidth="1"/>
    <col min="2322" max="2322" width="73.5703125" customWidth="1"/>
    <col min="2323" max="2324" width="16.28515625" customWidth="1"/>
    <col min="2325" max="2325" width="19.5703125" customWidth="1"/>
    <col min="2326" max="2326" width="12" customWidth="1"/>
    <col min="2327" max="2327" width="9.7109375" customWidth="1"/>
    <col min="2328" max="2328" width="15.28515625" customWidth="1"/>
    <col min="2329" max="2329" width="13" customWidth="1"/>
    <col min="2330" max="2330" width="12" customWidth="1"/>
    <col min="2331" max="2331" width="17.42578125" customWidth="1"/>
    <col min="2332" max="2332" width="26.28515625" customWidth="1"/>
    <col min="2333" max="2333" width="39.42578125" customWidth="1"/>
    <col min="2334" max="2334" width="21.85546875" customWidth="1"/>
    <col min="2335" max="2335" width="16.28515625" customWidth="1"/>
    <col min="2336" max="2336" width="28.42578125" customWidth="1"/>
    <col min="2337" max="2337" width="17.42578125" customWidth="1"/>
    <col min="2338" max="2338" width="29.5703125" customWidth="1"/>
    <col min="2339" max="2563" width="8.7109375" customWidth="1"/>
    <col min="2564" max="2564" width="23" customWidth="1"/>
    <col min="2565" max="2565" width="50.42578125" customWidth="1"/>
    <col min="2566" max="2566" width="16.28515625" customWidth="1"/>
    <col min="2567" max="2567" width="8.5703125" customWidth="1"/>
    <col min="2568" max="2568" width="26.28515625" customWidth="1"/>
    <col min="2569" max="2569" width="23" customWidth="1"/>
    <col min="2570" max="2570" width="28.42578125" customWidth="1"/>
    <col min="2571" max="2571" width="17.42578125" customWidth="1"/>
    <col min="2572" max="2573" width="13" customWidth="1"/>
    <col min="2574" max="2574" width="24" customWidth="1"/>
    <col min="2575" max="2575" width="15.28515625" customWidth="1"/>
    <col min="2576" max="2576" width="12" customWidth="1"/>
    <col min="2577" max="2577" width="87.85546875" customWidth="1"/>
    <col min="2578" max="2578" width="73.5703125" customWidth="1"/>
    <col min="2579" max="2580" width="16.28515625" customWidth="1"/>
    <col min="2581" max="2581" width="19.5703125" customWidth="1"/>
    <col min="2582" max="2582" width="12" customWidth="1"/>
    <col min="2583" max="2583" width="9.7109375" customWidth="1"/>
    <col min="2584" max="2584" width="15.28515625" customWidth="1"/>
    <col min="2585" max="2585" width="13" customWidth="1"/>
    <col min="2586" max="2586" width="12" customWidth="1"/>
    <col min="2587" max="2587" width="17.42578125" customWidth="1"/>
    <col min="2588" max="2588" width="26.28515625" customWidth="1"/>
    <col min="2589" max="2589" width="39.42578125" customWidth="1"/>
    <col min="2590" max="2590" width="21.85546875" customWidth="1"/>
    <col min="2591" max="2591" width="16.28515625" customWidth="1"/>
    <col min="2592" max="2592" width="28.42578125" customWidth="1"/>
    <col min="2593" max="2593" width="17.42578125" customWidth="1"/>
    <col min="2594" max="2594" width="29.5703125" customWidth="1"/>
    <col min="2595" max="2819" width="8.7109375" customWidth="1"/>
    <col min="2820" max="2820" width="23" customWidth="1"/>
    <col min="2821" max="2821" width="50.42578125" customWidth="1"/>
    <col min="2822" max="2822" width="16.28515625" customWidth="1"/>
    <col min="2823" max="2823" width="8.5703125" customWidth="1"/>
    <col min="2824" max="2824" width="26.28515625" customWidth="1"/>
    <col min="2825" max="2825" width="23" customWidth="1"/>
    <col min="2826" max="2826" width="28.42578125" customWidth="1"/>
    <col min="2827" max="2827" width="17.42578125" customWidth="1"/>
    <col min="2828" max="2829" width="13" customWidth="1"/>
    <col min="2830" max="2830" width="24" customWidth="1"/>
    <col min="2831" max="2831" width="15.28515625" customWidth="1"/>
    <col min="2832" max="2832" width="12" customWidth="1"/>
    <col min="2833" max="2833" width="87.85546875" customWidth="1"/>
    <col min="2834" max="2834" width="73.5703125" customWidth="1"/>
    <col min="2835" max="2836" width="16.28515625" customWidth="1"/>
    <col min="2837" max="2837" width="19.5703125" customWidth="1"/>
    <col min="2838" max="2838" width="12" customWidth="1"/>
    <col min="2839" max="2839" width="9.7109375" customWidth="1"/>
    <col min="2840" max="2840" width="15.28515625" customWidth="1"/>
    <col min="2841" max="2841" width="13" customWidth="1"/>
    <col min="2842" max="2842" width="12" customWidth="1"/>
    <col min="2843" max="2843" width="17.42578125" customWidth="1"/>
    <col min="2844" max="2844" width="26.28515625" customWidth="1"/>
    <col min="2845" max="2845" width="39.42578125" customWidth="1"/>
    <col min="2846" max="2846" width="21.85546875" customWidth="1"/>
    <col min="2847" max="2847" width="16.28515625" customWidth="1"/>
    <col min="2848" max="2848" width="28.42578125" customWidth="1"/>
    <col min="2849" max="2849" width="17.42578125" customWidth="1"/>
    <col min="2850" max="2850" width="29.5703125" customWidth="1"/>
    <col min="2851" max="3075" width="8.7109375" customWidth="1"/>
    <col min="3076" max="3076" width="23" customWidth="1"/>
    <col min="3077" max="3077" width="50.42578125" customWidth="1"/>
    <col min="3078" max="3078" width="16.28515625" customWidth="1"/>
    <col min="3079" max="3079" width="8.5703125" customWidth="1"/>
    <col min="3080" max="3080" width="26.28515625" customWidth="1"/>
    <col min="3081" max="3081" width="23" customWidth="1"/>
    <col min="3082" max="3082" width="28.42578125" customWidth="1"/>
    <col min="3083" max="3083" width="17.42578125" customWidth="1"/>
    <col min="3084" max="3085" width="13" customWidth="1"/>
    <col min="3086" max="3086" width="24" customWidth="1"/>
    <col min="3087" max="3087" width="15.28515625" customWidth="1"/>
    <col min="3088" max="3088" width="12" customWidth="1"/>
    <col min="3089" max="3089" width="87.85546875" customWidth="1"/>
    <col min="3090" max="3090" width="73.5703125" customWidth="1"/>
    <col min="3091" max="3092" width="16.28515625" customWidth="1"/>
    <col min="3093" max="3093" width="19.5703125" customWidth="1"/>
    <col min="3094" max="3094" width="12" customWidth="1"/>
    <col min="3095" max="3095" width="9.7109375" customWidth="1"/>
    <col min="3096" max="3096" width="15.28515625" customWidth="1"/>
    <col min="3097" max="3097" width="13" customWidth="1"/>
    <col min="3098" max="3098" width="12" customWidth="1"/>
    <col min="3099" max="3099" width="17.42578125" customWidth="1"/>
    <col min="3100" max="3100" width="26.28515625" customWidth="1"/>
    <col min="3101" max="3101" width="39.42578125" customWidth="1"/>
    <col min="3102" max="3102" width="21.85546875" customWidth="1"/>
    <col min="3103" max="3103" width="16.28515625" customWidth="1"/>
    <col min="3104" max="3104" width="28.42578125" customWidth="1"/>
    <col min="3105" max="3105" width="17.42578125" customWidth="1"/>
    <col min="3106" max="3106" width="29.5703125" customWidth="1"/>
    <col min="3107" max="3331" width="8.7109375" customWidth="1"/>
    <col min="3332" max="3332" width="23" customWidth="1"/>
    <col min="3333" max="3333" width="50.42578125" customWidth="1"/>
    <col min="3334" max="3334" width="16.28515625" customWidth="1"/>
    <col min="3335" max="3335" width="8.5703125" customWidth="1"/>
    <col min="3336" max="3336" width="26.28515625" customWidth="1"/>
    <col min="3337" max="3337" width="23" customWidth="1"/>
    <col min="3338" max="3338" width="28.42578125" customWidth="1"/>
    <col min="3339" max="3339" width="17.42578125" customWidth="1"/>
    <col min="3340" max="3341" width="13" customWidth="1"/>
    <col min="3342" max="3342" width="24" customWidth="1"/>
    <col min="3343" max="3343" width="15.28515625" customWidth="1"/>
    <col min="3344" max="3344" width="12" customWidth="1"/>
    <col min="3345" max="3345" width="87.85546875" customWidth="1"/>
    <col min="3346" max="3346" width="73.5703125" customWidth="1"/>
    <col min="3347" max="3348" width="16.28515625" customWidth="1"/>
    <col min="3349" max="3349" width="19.5703125" customWidth="1"/>
    <col min="3350" max="3350" width="12" customWidth="1"/>
    <col min="3351" max="3351" width="9.7109375" customWidth="1"/>
    <col min="3352" max="3352" width="15.28515625" customWidth="1"/>
    <col min="3353" max="3353" width="13" customWidth="1"/>
    <col min="3354" max="3354" width="12" customWidth="1"/>
    <col min="3355" max="3355" width="17.42578125" customWidth="1"/>
    <col min="3356" max="3356" width="26.28515625" customWidth="1"/>
    <col min="3357" max="3357" width="39.42578125" customWidth="1"/>
    <col min="3358" max="3358" width="21.85546875" customWidth="1"/>
    <col min="3359" max="3359" width="16.28515625" customWidth="1"/>
    <col min="3360" max="3360" width="28.42578125" customWidth="1"/>
    <col min="3361" max="3361" width="17.42578125" customWidth="1"/>
    <col min="3362" max="3362" width="29.5703125" customWidth="1"/>
    <col min="3363" max="3587" width="8.7109375" customWidth="1"/>
    <col min="3588" max="3588" width="23" customWidth="1"/>
    <col min="3589" max="3589" width="50.42578125" customWidth="1"/>
    <col min="3590" max="3590" width="16.28515625" customWidth="1"/>
    <col min="3591" max="3591" width="8.5703125" customWidth="1"/>
    <col min="3592" max="3592" width="26.28515625" customWidth="1"/>
    <col min="3593" max="3593" width="23" customWidth="1"/>
    <col min="3594" max="3594" width="28.42578125" customWidth="1"/>
    <col min="3595" max="3595" width="17.42578125" customWidth="1"/>
    <col min="3596" max="3597" width="13" customWidth="1"/>
    <col min="3598" max="3598" width="24" customWidth="1"/>
    <col min="3599" max="3599" width="15.28515625" customWidth="1"/>
    <col min="3600" max="3600" width="12" customWidth="1"/>
    <col min="3601" max="3601" width="87.85546875" customWidth="1"/>
    <col min="3602" max="3602" width="73.5703125" customWidth="1"/>
    <col min="3603" max="3604" width="16.28515625" customWidth="1"/>
    <col min="3605" max="3605" width="19.5703125" customWidth="1"/>
    <col min="3606" max="3606" width="12" customWidth="1"/>
    <col min="3607" max="3607" width="9.7109375" customWidth="1"/>
    <col min="3608" max="3608" width="15.28515625" customWidth="1"/>
    <col min="3609" max="3609" width="13" customWidth="1"/>
    <col min="3610" max="3610" width="12" customWidth="1"/>
    <col min="3611" max="3611" width="17.42578125" customWidth="1"/>
    <col min="3612" max="3612" width="26.28515625" customWidth="1"/>
    <col min="3613" max="3613" width="39.42578125" customWidth="1"/>
    <col min="3614" max="3614" width="21.85546875" customWidth="1"/>
    <col min="3615" max="3615" width="16.28515625" customWidth="1"/>
    <col min="3616" max="3616" width="28.42578125" customWidth="1"/>
    <col min="3617" max="3617" width="17.42578125" customWidth="1"/>
    <col min="3618" max="3618" width="29.5703125" customWidth="1"/>
    <col min="3619" max="3843" width="8.7109375" customWidth="1"/>
    <col min="3844" max="3844" width="23" customWidth="1"/>
    <col min="3845" max="3845" width="50.42578125" customWidth="1"/>
    <col min="3846" max="3846" width="16.28515625" customWidth="1"/>
    <col min="3847" max="3847" width="8.5703125" customWidth="1"/>
    <col min="3848" max="3848" width="26.28515625" customWidth="1"/>
    <col min="3849" max="3849" width="23" customWidth="1"/>
    <col min="3850" max="3850" width="28.42578125" customWidth="1"/>
    <col min="3851" max="3851" width="17.42578125" customWidth="1"/>
    <col min="3852" max="3853" width="13" customWidth="1"/>
    <col min="3854" max="3854" width="24" customWidth="1"/>
    <col min="3855" max="3855" width="15.28515625" customWidth="1"/>
    <col min="3856" max="3856" width="12" customWidth="1"/>
    <col min="3857" max="3857" width="87.85546875" customWidth="1"/>
    <col min="3858" max="3858" width="73.5703125" customWidth="1"/>
    <col min="3859" max="3860" width="16.28515625" customWidth="1"/>
    <col min="3861" max="3861" width="19.5703125" customWidth="1"/>
    <col min="3862" max="3862" width="12" customWidth="1"/>
    <col min="3863" max="3863" width="9.7109375" customWidth="1"/>
    <col min="3864" max="3864" width="15.28515625" customWidth="1"/>
    <col min="3865" max="3865" width="13" customWidth="1"/>
    <col min="3866" max="3866" width="12" customWidth="1"/>
    <col min="3867" max="3867" width="17.42578125" customWidth="1"/>
    <col min="3868" max="3868" width="26.28515625" customWidth="1"/>
    <col min="3869" max="3869" width="39.42578125" customWidth="1"/>
    <col min="3870" max="3870" width="21.85546875" customWidth="1"/>
    <col min="3871" max="3871" width="16.28515625" customWidth="1"/>
    <col min="3872" max="3872" width="28.42578125" customWidth="1"/>
    <col min="3873" max="3873" width="17.42578125" customWidth="1"/>
    <col min="3874" max="3874" width="29.5703125" customWidth="1"/>
    <col min="3875" max="4099" width="8.7109375" customWidth="1"/>
    <col min="4100" max="4100" width="23" customWidth="1"/>
    <col min="4101" max="4101" width="50.42578125" customWidth="1"/>
    <col min="4102" max="4102" width="16.28515625" customWidth="1"/>
    <col min="4103" max="4103" width="8.5703125" customWidth="1"/>
    <col min="4104" max="4104" width="26.28515625" customWidth="1"/>
    <col min="4105" max="4105" width="23" customWidth="1"/>
    <col min="4106" max="4106" width="28.42578125" customWidth="1"/>
    <col min="4107" max="4107" width="17.42578125" customWidth="1"/>
    <col min="4108" max="4109" width="13" customWidth="1"/>
    <col min="4110" max="4110" width="24" customWidth="1"/>
    <col min="4111" max="4111" width="15.28515625" customWidth="1"/>
    <col min="4112" max="4112" width="12" customWidth="1"/>
    <col min="4113" max="4113" width="87.85546875" customWidth="1"/>
    <col min="4114" max="4114" width="73.5703125" customWidth="1"/>
    <col min="4115" max="4116" width="16.28515625" customWidth="1"/>
    <col min="4117" max="4117" width="19.5703125" customWidth="1"/>
    <col min="4118" max="4118" width="12" customWidth="1"/>
    <col min="4119" max="4119" width="9.7109375" customWidth="1"/>
    <col min="4120" max="4120" width="15.28515625" customWidth="1"/>
    <col min="4121" max="4121" width="13" customWidth="1"/>
    <col min="4122" max="4122" width="12" customWidth="1"/>
    <col min="4123" max="4123" width="17.42578125" customWidth="1"/>
    <col min="4124" max="4124" width="26.28515625" customWidth="1"/>
    <col min="4125" max="4125" width="39.42578125" customWidth="1"/>
    <col min="4126" max="4126" width="21.85546875" customWidth="1"/>
    <col min="4127" max="4127" width="16.28515625" customWidth="1"/>
    <col min="4128" max="4128" width="28.42578125" customWidth="1"/>
    <col min="4129" max="4129" width="17.42578125" customWidth="1"/>
    <col min="4130" max="4130" width="29.5703125" customWidth="1"/>
    <col min="4131" max="4355" width="8.7109375" customWidth="1"/>
    <col min="4356" max="4356" width="23" customWidth="1"/>
    <col min="4357" max="4357" width="50.42578125" customWidth="1"/>
    <col min="4358" max="4358" width="16.28515625" customWidth="1"/>
    <col min="4359" max="4359" width="8.5703125" customWidth="1"/>
    <col min="4360" max="4360" width="26.28515625" customWidth="1"/>
    <col min="4361" max="4361" width="23" customWidth="1"/>
    <col min="4362" max="4362" width="28.42578125" customWidth="1"/>
    <col min="4363" max="4363" width="17.42578125" customWidth="1"/>
    <col min="4364" max="4365" width="13" customWidth="1"/>
    <col min="4366" max="4366" width="24" customWidth="1"/>
    <col min="4367" max="4367" width="15.28515625" customWidth="1"/>
    <col min="4368" max="4368" width="12" customWidth="1"/>
    <col min="4369" max="4369" width="87.85546875" customWidth="1"/>
    <col min="4370" max="4370" width="73.5703125" customWidth="1"/>
    <col min="4371" max="4372" width="16.28515625" customWidth="1"/>
    <col min="4373" max="4373" width="19.5703125" customWidth="1"/>
    <col min="4374" max="4374" width="12" customWidth="1"/>
    <col min="4375" max="4375" width="9.7109375" customWidth="1"/>
    <col min="4376" max="4376" width="15.28515625" customWidth="1"/>
    <col min="4377" max="4377" width="13" customWidth="1"/>
    <col min="4378" max="4378" width="12" customWidth="1"/>
    <col min="4379" max="4379" width="17.42578125" customWidth="1"/>
    <col min="4380" max="4380" width="26.28515625" customWidth="1"/>
    <col min="4381" max="4381" width="39.42578125" customWidth="1"/>
    <col min="4382" max="4382" width="21.85546875" customWidth="1"/>
    <col min="4383" max="4383" width="16.28515625" customWidth="1"/>
    <col min="4384" max="4384" width="28.42578125" customWidth="1"/>
    <col min="4385" max="4385" width="17.42578125" customWidth="1"/>
    <col min="4386" max="4386" width="29.5703125" customWidth="1"/>
    <col min="4387" max="4611" width="8.7109375" customWidth="1"/>
    <col min="4612" max="4612" width="23" customWidth="1"/>
    <col min="4613" max="4613" width="50.42578125" customWidth="1"/>
    <col min="4614" max="4614" width="16.28515625" customWidth="1"/>
    <col min="4615" max="4615" width="8.5703125" customWidth="1"/>
    <col min="4616" max="4616" width="26.28515625" customWidth="1"/>
    <col min="4617" max="4617" width="23" customWidth="1"/>
    <col min="4618" max="4618" width="28.42578125" customWidth="1"/>
    <col min="4619" max="4619" width="17.42578125" customWidth="1"/>
    <col min="4620" max="4621" width="13" customWidth="1"/>
    <col min="4622" max="4622" width="24" customWidth="1"/>
    <col min="4623" max="4623" width="15.28515625" customWidth="1"/>
    <col min="4624" max="4624" width="12" customWidth="1"/>
    <col min="4625" max="4625" width="87.85546875" customWidth="1"/>
    <col min="4626" max="4626" width="73.5703125" customWidth="1"/>
    <col min="4627" max="4628" width="16.28515625" customWidth="1"/>
    <col min="4629" max="4629" width="19.5703125" customWidth="1"/>
    <col min="4630" max="4630" width="12" customWidth="1"/>
    <col min="4631" max="4631" width="9.7109375" customWidth="1"/>
    <col min="4632" max="4632" width="15.28515625" customWidth="1"/>
    <col min="4633" max="4633" width="13" customWidth="1"/>
    <col min="4634" max="4634" width="12" customWidth="1"/>
    <col min="4635" max="4635" width="17.42578125" customWidth="1"/>
    <col min="4636" max="4636" width="26.28515625" customWidth="1"/>
    <col min="4637" max="4637" width="39.42578125" customWidth="1"/>
    <col min="4638" max="4638" width="21.85546875" customWidth="1"/>
    <col min="4639" max="4639" width="16.28515625" customWidth="1"/>
    <col min="4640" max="4640" width="28.42578125" customWidth="1"/>
    <col min="4641" max="4641" width="17.42578125" customWidth="1"/>
    <col min="4642" max="4642" width="29.5703125" customWidth="1"/>
    <col min="4643" max="4867" width="8.7109375" customWidth="1"/>
    <col min="4868" max="4868" width="23" customWidth="1"/>
    <col min="4869" max="4869" width="50.42578125" customWidth="1"/>
    <col min="4870" max="4870" width="16.28515625" customWidth="1"/>
    <col min="4871" max="4871" width="8.5703125" customWidth="1"/>
    <col min="4872" max="4872" width="26.28515625" customWidth="1"/>
    <col min="4873" max="4873" width="23" customWidth="1"/>
    <col min="4874" max="4874" width="28.42578125" customWidth="1"/>
    <col min="4875" max="4875" width="17.42578125" customWidth="1"/>
    <col min="4876" max="4877" width="13" customWidth="1"/>
    <col min="4878" max="4878" width="24" customWidth="1"/>
    <col min="4879" max="4879" width="15.28515625" customWidth="1"/>
    <col min="4880" max="4880" width="12" customWidth="1"/>
    <col min="4881" max="4881" width="87.85546875" customWidth="1"/>
    <col min="4882" max="4882" width="73.5703125" customWidth="1"/>
    <col min="4883" max="4884" width="16.28515625" customWidth="1"/>
    <col min="4885" max="4885" width="19.5703125" customWidth="1"/>
    <col min="4886" max="4886" width="12" customWidth="1"/>
    <col min="4887" max="4887" width="9.7109375" customWidth="1"/>
    <col min="4888" max="4888" width="15.28515625" customWidth="1"/>
    <col min="4889" max="4889" width="13" customWidth="1"/>
    <col min="4890" max="4890" width="12" customWidth="1"/>
    <col min="4891" max="4891" width="17.42578125" customWidth="1"/>
    <col min="4892" max="4892" width="26.28515625" customWidth="1"/>
    <col min="4893" max="4893" width="39.42578125" customWidth="1"/>
    <col min="4894" max="4894" width="21.85546875" customWidth="1"/>
    <col min="4895" max="4895" width="16.28515625" customWidth="1"/>
    <col min="4896" max="4896" width="28.42578125" customWidth="1"/>
    <col min="4897" max="4897" width="17.42578125" customWidth="1"/>
    <col min="4898" max="4898" width="29.5703125" customWidth="1"/>
    <col min="4899" max="5123" width="8.7109375" customWidth="1"/>
    <col min="5124" max="5124" width="23" customWidth="1"/>
    <col min="5125" max="5125" width="50.42578125" customWidth="1"/>
    <col min="5126" max="5126" width="16.28515625" customWidth="1"/>
    <col min="5127" max="5127" width="8.5703125" customWidth="1"/>
    <col min="5128" max="5128" width="26.28515625" customWidth="1"/>
    <col min="5129" max="5129" width="23" customWidth="1"/>
    <col min="5130" max="5130" width="28.42578125" customWidth="1"/>
    <col min="5131" max="5131" width="17.42578125" customWidth="1"/>
    <col min="5132" max="5133" width="13" customWidth="1"/>
    <col min="5134" max="5134" width="24" customWidth="1"/>
    <col min="5135" max="5135" width="15.28515625" customWidth="1"/>
    <col min="5136" max="5136" width="12" customWidth="1"/>
    <col min="5137" max="5137" width="87.85546875" customWidth="1"/>
    <col min="5138" max="5138" width="73.5703125" customWidth="1"/>
    <col min="5139" max="5140" width="16.28515625" customWidth="1"/>
    <col min="5141" max="5141" width="19.5703125" customWidth="1"/>
    <col min="5142" max="5142" width="12" customWidth="1"/>
    <col min="5143" max="5143" width="9.7109375" customWidth="1"/>
    <col min="5144" max="5144" width="15.28515625" customWidth="1"/>
    <col min="5145" max="5145" width="13" customWidth="1"/>
    <col min="5146" max="5146" width="12" customWidth="1"/>
    <col min="5147" max="5147" width="17.42578125" customWidth="1"/>
    <col min="5148" max="5148" width="26.28515625" customWidth="1"/>
    <col min="5149" max="5149" width="39.42578125" customWidth="1"/>
    <col min="5150" max="5150" width="21.85546875" customWidth="1"/>
    <col min="5151" max="5151" width="16.28515625" customWidth="1"/>
    <col min="5152" max="5152" width="28.42578125" customWidth="1"/>
    <col min="5153" max="5153" width="17.42578125" customWidth="1"/>
    <col min="5154" max="5154" width="29.5703125" customWidth="1"/>
    <col min="5155" max="5379" width="8.7109375" customWidth="1"/>
    <col min="5380" max="5380" width="23" customWidth="1"/>
    <col min="5381" max="5381" width="50.42578125" customWidth="1"/>
    <col min="5382" max="5382" width="16.28515625" customWidth="1"/>
    <col min="5383" max="5383" width="8.5703125" customWidth="1"/>
    <col min="5384" max="5384" width="26.28515625" customWidth="1"/>
    <col min="5385" max="5385" width="23" customWidth="1"/>
    <col min="5386" max="5386" width="28.42578125" customWidth="1"/>
    <col min="5387" max="5387" width="17.42578125" customWidth="1"/>
    <col min="5388" max="5389" width="13" customWidth="1"/>
    <col min="5390" max="5390" width="24" customWidth="1"/>
    <col min="5391" max="5391" width="15.28515625" customWidth="1"/>
    <col min="5392" max="5392" width="12" customWidth="1"/>
    <col min="5393" max="5393" width="87.85546875" customWidth="1"/>
    <col min="5394" max="5394" width="73.5703125" customWidth="1"/>
    <col min="5395" max="5396" width="16.28515625" customWidth="1"/>
    <col min="5397" max="5397" width="19.5703125" customWidth="1"/>
    <col min="5398" max="5398" width="12" customWidth="1"/>
    <col min="5399" max="5399" width="9.7109375" customWidth="1"/>
    <col min="5400" max="5400" width="15.28515625" customWidth="1"/>
    <col min="5401" max="5401" width="13" customWidth="1"/>
    <col min="5402" max="5402" width="12" customWidth="1"/>
    <col min="5403" max="5403" width="17.42578125" customWidth="1"/>
    <col min="5404" max="5404" width="26.28515625" customWidth="1"/>
    <col min="5405" max="5405" width="39.42578125" customWidth="1"/>
    <col min="5406" max="5406" width="21.85546875" customWidth="1"/>
    <col min="5407" max="5407" width="16.28515625" customWidth="1"/>
    <col min="5408" max="5408" width="28.42578125" customWidth="1"/>
    <col min="5409" max="5409" width="17.42578125" customWidth="1"/>
    <col min="5410" max="5410" width="29.5703125" customWidth="1"/>
    <col min="5411" max="5635" width="8.7109375" customWidth="1"/>
    <col min="5636" max="5636" width="23" customWidth="1"/>
    <col min="5637" max="5637" width="50.42578125" customWidth="1"/>
    <col min="5638" max="5638" width="16.28515625" customWidth="1"/>
    <col min="5639" max="5639" width="8.5703125" customWidth="1"/>
    <col min="5640" max="5640" width="26.28515625" customWidth="1"/>
    <col min="5641" max="5641" width="23" customWidth="1"/>
    <col min="5642" max="5642" width="28.42578125" customWidth="1"/>
    <col min="5643" max="5643" width="17.42578125" customWidth="1"/>
    <col min="5644" max="5645" width="13" customWidth="1"/>
    <col min="5646" max="5646" width="24" customWidth="1"/>
    <col min="5647" max="5647" width="15.28515625" customWidth="1"/>
    <col min="5648" max="5648" width="12" customWidth="1"/>
    <col min="5649" max="5649" width="87.85546875" customWidth="1"/>
    <col min="5650" max="5650" width="73.5703125" customWidth="1"/>
    <col min="5651" max="5652" width="16.28515625" customWidth="1"/>
    <col min="5653" max="5653" width="19.5703125" customWidth="1"/>
    <col min="5654" max="5654" width="12" customWidth="1"/>
    <col min="5655" max="5655" width="9.7109375" customWidth="1"/>
    <col min="5656" max="5656" width="15.28515625" customWidth="1"/>
    <col min="5657" max="5657" width="13" customWidth="1"/>
    <col min="5658" max="5658" width="12" customWidth="1"/>
    <col min="5659" max="5659" width="17.42578125" customWidth="1"/>
    <col min="5660" max="5660" width="26.28515625" customWidth="1"/>
    <col min="5661" max="5661" width="39.42578125" customWidth="1"/>
    <col min="5662" max="5662" width="21.85546875" customWidth="1"/>
    <col min="5663" max="5663" width="16.28515625" customWidth="1"/>
    <col min="5664" max="5664" width="28.42578125" customWidth="1"/>
    <col min="5665" max="5665" width="17.42578125" customWidth="1"/>
    <col min="5666" max="5666" width="29.5703125" customWidth="1"/>
    <col min="5667" max="5891" width="8.7109375" customWidth="1"/>
    <col min="5892" max="5892" width="23" customWidth="1"/>
    <col min="5893" max="5893" width="50.42578125" customWidth="1"/>
    <col min="5894" max="5894" width="16.28515625" customWidth="1"/>
    <col min="5895" max="5895" width="8.5703125" customWidth="1"/>
    <col min="5896" max="5896" width="26.28515625" customWidth="1"/>
    <col min="5897" max="5897" width="23" customWidth="1"/>
    <col min="5898" max="5898" width="28.42578125" customWidth="1"/>
    <col min="5899" max="5899" width="17.42578125" customWidth="1"/>
    <col min="5900" max="5901" width="13" customWidth="1"/>
    <col min="5902" max="5902" width="24" customWidth="1"/>
    <col min="5903" max="5903" width="15.28515625" customWidth="1"/>
    <col min="5904" max="5904" width="12" customWidth="1"/>
    <col min="5905" max="5905" width="87.85546875" customWidth="1"/>
    <col min="5906" max="5906" width="73.5703125" customWidth="1"/>
    <col min="5907" max="5908" width="16.28515625" customWidth="1"/>
    <col min="5909" max="5909" width="19.5703125" customWidth="1"/>
    <col min="5910" max="5910" width="12" customWidth="1"/>
    <col min="5911" max="5911" width="9.7109375" customWidth="1"/>
    <col min="5912" max="5912" width="15.28515625" customWidth="1"/>
    <col min="5913" max="5913" width="13" customWidth="1"/>
    <col min="5914" max="5914" width="12" customWidth="1"/>
    <col min="5915" max="5915" width="17.42578125" customWidth="1"/>
    <col min="5916" max="5916" width="26.28515625" customWidth="1"/>
    <col min="5917" max="5917" width="39.42578125" customWidth="1"/>
    <col min="5918" max="5918" width="21.85546875" customWidth="1"/>
    <col min="5919" max="5919" width="16.28515625" customWidth="1"/>
    <col min="5920" max="5920" width="28.42578125" customWidth="1"/>
    <col min="5921" max="5921" width="17.42578125" customWidth="1"/>
    <col min="5922" max="5922" width="29.5703125" customWidth="1"/>
    <col min="5923" max="6147" width="8.7109375" customWidth="1"/>
    <col min="6148" max="6148" width="23" customWidth="1"/>
    <col min="6149" max="6149" width="50.42578125" customWidth="1"/>
    <col min="6150" max="6150" width="16.28515625" customWidth="1"/>
    <col min="6151" max="6151" width="8.5703125" customWidth="1"/>
    <col min="6152" max="6152" width="26.28515625" customWidth="1"/>
    <col min="6153" max="6153" width="23" customWidth="1"/>
    <col min="6154" max="6154" width="28.42578125" customWidth="1"/>
    <col min="6155" max="6155" width="17.42578125" customWidth="1"/>
    <col min="6156" max="6157" width="13" customWidth="1"/>
    <col min="6158" max="6158" width="24" customWidth="1"/>
    <col min="6159" max="6159" width="15.28515625" customWidth="1"/>
    <col min="6160" max="6160" width="12" customWidth="1"/>
    <col min="6161" max="6161" width="87.85546875" customWidth="1"/>
    <col min="6162" max="6162" width="73.5703125" customWidth="1"/>
    <col min="6163" max="6164" width="16.28515625" customWidth="1"/>
    <col min="6165" max="6165" width="19.5703125" customWidth="1"/>
    <col min="6166" max="6166" width="12" customWidth="1"/>
    <col min="6167" max="6167" width="9.7109375" customWidth="1"/>
    <col min="6168" max="6168" width="15.28515625" customWidth="1"/>
    <col min="6169" max="6169" width="13" customWidth="1"/>
    <col min="6170" max="6170" width="12" customWidth="1"/>
    <col min="6171" max="6171" width="17.42578125" customWidth="1"/>
    <col min="6172" max="6172" width="26.28515625" customWidth="1"/>
    <col min="6173" max="6173" width="39.42578125" customWidth="1"/>
    <col min="6174" max="6174" width="21.85546875" customWidth="1"/>
    <col min="6175" max="6175" width="16.28515625" customWidth="1"/>
    <col min="6176" max="6176" width="28.42578125" customWidth="1"/>
    <col min="6177" max="6177" width="17.42578125" customWidth="1"/>
    <col min="6178" max="6178" width="29.5703125" customWidth="1"/>
    <col min="6179" max="6403" width="8.7109375" customWidth="1"/>
    <col min="6404" max="6404" width="23" customWidth="1"/>
    <col min="6405" max="6405" width="50.42578125" customWidth="1"/>
    <col min="6406" max="6406" width="16.28515625" customWidth="1"/>
    <col min="6407" max="6407" width="8.5703125" customWidth="1"/>
    <col min="6408" max="6408" width="26.28515625" customWidth="1"/>
    <col min="6409" max="6409" width="23" customWidth="1"/>
    <col min="6410" max="6410" width="28.42578125" customWidth="1"/>
    <col min="6411" max="6411" width="17.42578125" customWidth="1"/>
    <col min="6412" max="6413" width="13" customWidth="1"/>
    <col min="6414" max="6414" width="24" customWidth="1"/>
    <col min="6415" max="6415" width="15.28515625" customWidth="1"/>
    <col min="6416" max="6416" width="12" customWidth="1"/>
    <col min="6417" max="6417" width="87.85546875" customWidth="1"/>
    <col min="6418" max="6418" width="73.5703125" customWidth="1"/>
    <col min="6419" max="6420" width="16.28515625" customWidth="1"/>
    <col min="6421" max="6421" width="19.5703125" customWidth="1"/>
    <col min="6422" max="6422" width="12" customWidth="1"/>
    <col min="6423" max="6423" width="9.7109375" customWidth="1"/>
    <col min="6424" max="6424" width="15.28515625" customWidth="1"/>
    <col min="6425" max="6425" width="13" customWidth="1"/>
    <col min="6426" max="6426" width="12" customWidth="1"/>
    <col min="6427" max="6427" width="17.42578125" customWidth="1"/>
    <col min="6428" max="6428" width="26.28515625" customWidth="1"/>
    <col min="6429" max="6429" width="39.42578125" customWidth="1"/>
    <col min="6430" max="6430" width="21.85546875" customWidth="1"/>
    <col min="6431" max="6431" width="16.28515625" customWidth="1"/>
    <col min="6432" max="6432" width="28.42578125" customWidth="1"/>
    <col min="6433" max="6433" width="17.42578125" customWidth="1"/>
    <col min="6434" max="6434" width="29.5703125" customWidth="1"/>
    <col min="6435" max="6659" width="8.7109375" customWidth="1"/>
    <col min="6660" max="6660" width="23" customWidth="1"/>
    <col min="6661" max="6661" width="50.42578125" customWidth="1"/>
    <col min="6662" max="6662" width="16.28515625" customWidth="1"/>
    <col min="6663" max="6663" width="8.5703125" customWidth="1"/>
    <col min="6664" max="6664" width="26.28515625" customWidth="1"/>
    <col min="6665" max="6665" width="23" customWidth="1"/>
    <col min="6666" max="6666" width="28.42578125" customWidth="1"/>
    <col min="6667" max="6667" width="17.42578125" customWidth="1"/>
    <col min="6668" max="6669" width="13" customWidth="1"/>
    <col min="6670" max="6670" width="24" customWidth="1"/>
    <col min="6671" max="6671" width="15.28515625" customWidth="1"/>
    <col min="6672" max="6672" width="12" customWidth="1"/>
    <col min="6673" max="6673" width="87.85546875" customWidth="1"/>
    <col min="6674" max="6674" width="73.5703125" customWidth="1"/>
    <col min="6675" max="6676" width="16.28515625" customWidth="1"/>
    <col min="6677" max="6677" width="19.5703125" customWidth="1"/>
    <col min="6678" max="6678" width="12" customWidth="1"/>
    <col min="6679" max="6679" width="9.7109375" customWidth="1"/>
    <col min="6680" max="6680" width="15.28515625" customWidth="1"/>
    <col min="6681" max="6681" width="13" customWidth="1"/>
    <col min="6682" max="6682" width="12" customWidth="1"/>
    <col min="6683" max="6683" width="17.42578125" customWidth="1"/>
    <col min="6684" max="6684" width="26.28515625" customWidth="1"/>
    <col min="6685" max="6685" width="39.42578125" customWidth="1"/>
    <col min="6686" max="6686" width="21.85546875" customWidth="1"/>
    <col min="6687" max="6687" width="16.28515625" customWidth="1"/>
    <col min="6688" max="6688" width="28.42578125" customWidth="1"/>
    <col min="6689" max="6689" width="17.42578125" customWidth="1"/>
    <col min="6690" max="6690" width="29.5703125" customWidth="1"/>
    <col min="6691" max="6915" width="8.7109375" customWidth="1"/>
    <col min="6916" max="6916" width="23" customWidth="1"/>
    <col min="6917" max="6917" width="50.42578125" customWidth="1"/>
    <col min="6918" max="6918" width="16.28515625" customWidth="1"/>
    <col min="6919" max="6919" width="8.5703125" customWidth="1"/>
    <col min="6920" max="6920" width="26.28515625" customWidth="1"/>
    <col min="6921" max="6921" width="23" customWidth="1"/>
    <col min="6922" max="6922" width="28.42578125" customWidth="1"/>
    <col min="6923" max="6923" width="17.42578125" customWidth="1"/>
    <col min="6924" max="6925" width="13" customWidth="1"/>
    <col min="6926" max="6926" width="24" customWidth="1"/>
    <col min="6927" max="6927" width="15.28515625" customWidth="1"/>
    <col min="6928" max="6928" width="12" customWidth="1"/>
    <col min="6929" max="6929" width="87.85546875" customWidth="1"/>
    <col min="6930" max="6930" width="73.5703125" customWidth="1"/>
    <col min="6931" max="6932" width="16.28515625" customWidth="1"/>
    <col min="6933" max="6933" width="19.5703125" customWidth="1"/>
    <col min="6934" max="6934" width="12" customWidth="1"/>
    <col min="6935" max="6935" width="9.7109375" customWidth="1"/>
    <col min="6936" max="6936" width="15.28515625" customWidth="1"/>
    <col min="6937" max="6937" width="13" customWidth="1"/>
    <col min="6938" max="6938" width="12" customWidth="1"/>
    <col min="6939" max="6939" width="17.42578125" customWidth="1"/>
    <col min="6940" max="6940" width="26.28515625" customWidth="1"/>
    <col min="6941" max="6941" width="39.42578125" customWidth="1"/>
    <col min="6942" max="6942" width="21.85546875" customWidth="1"/>
    <col min="6943" max="6943" width="16.28515625" customWidth="1"/>
    <col min="6944" max="6944" width="28.42578125" customWidth="1"/>
    <col min="6945" max="6945" width="17.42578125" customWidth="1"/>
    <col min="6946" max="6946" width="29.5703125" customWidth="1"/>
    <col min="6947" max="7171" width="8.7109375" customWidth="1"/>
    <col min="7172" max="7172" width="23" customWidth="1"/>
    <col min="7173" max="7173" width="50.42578125" customWidth="1"/>
    <col min="7174" max="7174" width="16.28515625" customWidth="1"/>
    <col min="7175" max="7175" width="8.5703125" customWidth="1"/>
    <col min="7176" max="7176" width="26.28515625" customWidth="1"/>
    <col min="7177" max="7177" width="23" customWidth="1"/>
    <col min="7178" max="7178" width="28.42578125" customWidth="1"/>
    <col min="7179" max="7179" width="17.42578125" customWidth="1"/>
    <col min="7180" max="7181" width="13" customWidth="1"/>
    <col min="7182" max="7182" width="24" customWidth="1"/>
    <col min="7183" max="7183" width="15.28515625" customWidth="1"/>
    <col min="7184" max="7184" width="12" customWidth="1"/>
    <col min="7185" max="7185" width="87.85546875" customWidth="1"/>
    <col min="7186" max="7186" width="73.5703125" customWidth="1"/>
    <col min="7187" max="7188" width="16.28515625" customWidth="1"/>
    <col min="7189" max="7189" width="19.5703125" customWidth="1"/>
    <col min="7190" max="7190" width="12" customWidth="1"/>
    <col min="7191" max="7191" width="9.7109375" customWidth="1"/>
    <col min="7192" max="7192" width="15.28515625" customWidth="1"/>
    <col min="7193" max="7193" width="13" customWidth="1"/>
    <col min="7194" max="7194" width="12" customWidth="1"/>
    <col min="7195" max="7195" width="17.42578125" customWidth="1"/>
    <col min="7196" max="7196" width="26.28515625" customWidth="1"/>
    <col min="7197" max="7197" width="39.42578125" customWidth="1"/>
    <col min="7198" max="7198" width="21.85546875" customWidth="1"/>
    <col min="7199" max="7199" width="16.28515625" customWidth="1"/>
    <col min="7200" max="7200" width="28.42578125" customWidth="1"/>
    <col min="7201" max="7201" width="17.42578125" customWidth="1"/>
    <col min="7202" max="7202" width="29.5703125" customWidth="1"/>
    <col min="7203" max="7427" width="8.7109375" customWidth="1"/>
    <col min="7428" max="7428" width="23" customWidth="1"/>
    <col min="7429" max="7429" width="50.42578125" customWidth="1"/>
    <col min="7430" max="7430" width="16.28515625" customWidth="1"/>
    <col min="7431" max="7431" width="8.5703125" customWidth="1"/>
    <col min="7432" max="7432" width="26.28515625" customWidth="1"/>
    <col min="7433" max="7433" width="23" customWidth="1"/>
    <col min="7434" max="7434" width="28.42578125" customWidth="1"/>
    <col min="7435" max="7435" width="17.42578125" customWidth="1"/>
    <col min="7436" max="7437" width="13" customWidth="1"/>
    <col min="7438" max="7438" width="24" customWidth="1"/>
    <col min="7439" max="7439" width="15.28515625" customWidth="1"/>
    <col min="7440" max="7440" width="12" customWidth="1"/>
    <col min="7441" max="7441" width="87.85546875" customWidth="1"/>
    <col min="7442" max="7442" width="73.5703125" customWidth="1"/>
    <col min="7443" max="7444" width="16.28515625" customWidth="1"/>
    <col min="7445" max="7445" width="19.5703125" customWidth="1"/>
    <col min="7446" max="7446" width="12" customWidth="1"/>
    <col min="7447" max="7447" width="9.7109375" customWidth="1"/>
    <col min="7448" max="7448" width="15.28515625" customWidth="1"/>
    <col min="7449" max="7449" width="13" customWidth="1"/>
    <col min="7450" max="7450" width="12" customWidth="1"/>
    <col min="7451" max="7451" width="17.42578125" customWidth="1"/>
    <col min="7452" max="7452" width="26.28515625" customWidth="1"/>
    <col min="7453" max="7453" width="39.42578125" customWidth="1"/>
    <col min="7454" max="7454" width="21.85546875" customWidth="1"/>
    <col min="7455" max="7455" width="16.28515625" customWidth="1"/>
    <col min="7456" max="7456" width="28.42578125" customWidth="1"/>
    <col min="7457" max="7457" width="17.42578125" customWidth="1"/>
    <col min="7458" max="7458" width="29.5703125" customWidth="1"/>
    <col min="7459" max="7683" width="8.7109375" customWidth="1"/>
    <col min="7684" max="7684" width="23" customWidth="1"/>
    <col min="7685" max="7685" width="50.42578125" customWidth="1"/>
    <col min="7686" max="7686" width="16.28515625" customWidth="1"/>
    <col min="7687" max="7687" width="8.5703125" customWidth="1"/>
    <col min="7688" max="7688" width="26.28515625" customWidth="1"/>
    <col min="7689" max="7689" width="23" customWidth="1"/>
    <col min="7690" max="7690" width="28.42578125" customWidth="1"/>
    <col min="7691" max="7691" width="17.42578125" customWidth="1"/>
    <col min="7692" max="7693" width="13" customWidth="1"/>
    <col min="7694" max="7694" width="24" customWidth="1"/>
    <col min="7695" max="7695" width="15.28515625" customWidth="1"/>
    <col min="7696" max="7696" width="12" customWidth="1"/>
    <col min="7697" max="7697" width="87.85546875" customWidth="1"/>
    <col min="7698" max="7698" width="73.5703125" customWidth="1"/>
    <col min="7699" max="7700" width="16.28515625" customWidth="1"/>
    <col min="7701" max="7701" width="19.5703125" customWidth="1"/>
    <col min="7702" max="7702" width="12" customWidth="1"/>
    <col min="7703" max="7703" width="9.7109375" customWidth="1"/>
    <col min="7704" max="7704" width="15.28515625" customWidth="1"/>
    <col min="7705" max="7705" width="13" customWidth="1"/>
    <col min="7706" max="7706" width="12" customWidth="1"/>
    <col min="7707" max="7707" width="17.42578125" customWidth="1"/>
    <col min="7708" max="7708" width="26.28515625" customWidth="1"/>
    <col min="7709" max="7709" width="39.42578125" customWidth="1"/>
    <col min="7710" max="7710" width="21.85546875" customWidth="1"/>
    <col min="7711" max="7711" width="16.28515625" customWidth="1"/>
    <col min="7712" max="7712" width="28.42578125" customWidth="1"/>
    <col min="7713" max="7713" width="17.42578125" customWidth="1"/>
    <col min="7714" max="7714" width="29.5703125" customWidth="1"/>
    <col min="7715" max="7939" width="8.7109375" customWidth="1"/>
    <col min="7940" max="7940" width="23" customWidth="1"/>
    <col min="7941" max="7941" width="50.42578125" customWidth="1"/>
    <col min="7942" max="7942" width="16.28515625" customWidth="1"/>
    <col min="7943" max="7943" width="8.5703125" customWidth="1"/>
    <col min="7944" max="7944" width="26.28515625" customWidth="1"/>
    <col min="7945" max="7945" width="23" customWidth="1"/>
    <col min="7946" max="7946" width="28.42578125" customWidth="1"/>
    <col min="7947" max="7947" width="17.42578125" customWidth="1"/>
    <col min="7948" max="7949" width="13" customWidth="1"/>
    <col min="7950" max="7950" width="24" customWidth="1"/>
    <col min="7951" max="7951" width="15.28515625" customWidth="1"/>
    <col min="7952" max="7952" width="12" customWidth="1"/>
    <col min="7953" max="7953" width="87.85546875" customWidth="1"/>
    <col min="7954" max="7954" width="73.5703125" customWidth="1"/>
    <col min="7955" max="7956" width="16.28515625" customWidth="1"/>
    <col min="7957" max="7957" width="19.5703125" customWidth="1"/>
    <col min="7958" max="7958" width="12" customWidth="1"/>
    <col min="7959" max="7959" width="9.7109375" customWidth="1"/>
    <col min="7960" max="7960" width="15.28515625" customWidth="1"/>
    <col min="7961" max="7961" width="13" customWidth="1"/>
    <col min="7962" max="7962" width="12" customWidth="1"/>
    <col min="7963" max="7963" width="17.42578125" customWidth="1"/>
    <col min="7964" max="7964" width="26.28515625" customWidth="1"/>
    <col min="7965" max="7965" width="39.42578125" customWidth="1"/>
    <col min="7966" max="7966" width="21.85546875" customWidth="1"/>
    <col min="7967" max="7967" width="16.28515625" customWidth="1"/>
    <col min="7968" max="7968" width="28.42578125" customWidth="1"/>
    <col min="7969" max="7969" width="17.42578125" customWidth="1"/>
    <col min="7970" max="7970" width="29.5703125" customWidth="1"/>
    <col min="7971" max="8195" width="8.7109375" customWidth="1"/>
    <col min="8196" max="8196" width="23" customWidth="1"/>
    <col min="8197" max="8197" width="50.42578125" customWidth="1"/>
    <col min="8198" max="8198" width="16.28515625" customWidth="1"/>
    <col min="8199" max="8199" width="8.5703125" customWidth="1"/>
    <col min="8200" max="8200" width="26.28515625" customWidth="1"/>
    <col min="8201" max="8201" width="23" customWidth="1"/>
    <col min="8202" max="8202" width="28.42578125" customWidth="1"/>
    <col min="8203" max="8203" width="17.42578125" customWidth="1"/>
    <col min="8204" max="8205" width="13" customWidth="1"/>
    <col min="8206" max="8206" width="24" customWidth="1"/>
    <col min="8207" max="8207" width="15.28515625" customWidth="1"/>
    <col min="8208" max="8208" width="12" customWidth="1"/>
    <col min="8209" max="8209" width="87.85546875" customWidth="1"/>
    <col min="8210" max="8210" width="73.5703125" customWidth="1"/>
    <col min="8211" max="8212" width="16.28515625" customWidth="1"/>
    <col min="8213" max="8213" width="19.5703125" customWidth="1"/>
    <col min="8214" max="8214" width="12" customWidth="1"/>
    <col min="8215" max="8215" width="9.7109375" customWidth="1"/>
    <col min="8216" max="8216" width="15.28515625" customWidth="1"/>
    <col min="8217" max="8217" width="13" customWidth="1"/>
    <col min="8218" max="8218" width="12" customWidth="1"/>
    <col min="8219" max="8219" width="17.42578125" customWidth="1"/>
    <col min="8220" max="8220" width="26.28515625" customWidth="1"/>
    <col min="8221" max="8221" width="39.42578125" customWidth="1"/>
    <col min="8222" max="8222" width="21.85546875" customWidth="1"/>
    <col min="8223" max="8223" width="16.28515625" customWidth="1"/>
    <col min="8224" max="8224" width="28.42578125" customWidth="1"/>
    <col min="8225" max="8225" width="17.42578125" customWidth="1"/>
    <col min="8226" max="8226" width="29.5703125" customWidth="1"/>
    <col min="8227" max="8451" width="8.7109375" customWidth="1"/>
    <col min="8452" max="8452" width="23" customWidth="1"/>
    <col min="8453" max="8453" width="50.42578125" customWidth="1"/>
    <col min="8454" max="8454" width="16.28515625" customWidth="1"/>
    <col min="8455" max="8455" width="8.5703125" customWidth="1"/>
    <col min="8456" max="8456" width="26.28515625" customWidth="1"/>
    <col min="8457" max="8457" width="23" customWidth="1"/>
    <col min="8458" max="8458" width="28.42578125" customWidth="1"/>
    <col min="8459" max="8459" width="17.42578125" customWidth="1"/>
    <col min="8460" max="8461" width="13" customWidth="1"/>
    <col min="8462" max="8462" width="24" customWidth="1"/>
    <col min="8463" max="8463" width="15.28515625" customWidth="1"/>
    <col min="8464" max="8464" width="12" customWidth="1"/>
    <col min="8465" max="8465" width="87.85546875" customWidth="1"/>
    <col min="8466" max="8466" width="73.5703125" customWidth="1"/>
    <col min="8467" max="8468" width="16.28515625" customWidth="1"/>
    <col min="8469" max="8469" width="19.5703125" customWidth="1"/>
    <col min="8470" max="8470" width="12" customWidth="1"/>
    <col min="8471" max="8471" width="9.7109375" customWidth="1"/>
    <col min="8472" max="8472" width="15.28515625" customWidth="1"/>
    <col min="8473" max="8473" width="13" customWidth="1"/>
    <col min="8474" max="8474" width="12" customWidth="1"/>
    <col min="8475" max="8475" width="17.42578125" customWidth="1"/>
    <col min="8476" max="8476" width="26.28515625" customWidth="1"/>
    <col min="8477" max="8477" width="39.42578125" customWidth="1"/>
    <col min="8478" max="8478" width="21.85546875" customWidth="1"/>
    <col min="8479" max="8479" width="16.28515625" customWidth="1"/>
    <col min="8480" max="8480" width="28.42578125" customWidth="1"/>
    <col min="8481" max="8481" width="17.42578125" customWidth="1"/>
    <col min="8482" max="8482" width="29.5703125" customWidth="1"/>
    <col min="8483" max="8707" width="8.7109375" customWidth="1"/>
    <col min="8708" max="8708" width="23" customWidth="1"/>
    <col min="8709" max="8709" width="50.42578125" customWidth="1"/>
    <col min="8710" max="8710" width="16.28515625" customWidth="1"/>
    <col min="8711" max="8711" width="8.5703125" customWidth="1"/>
    <col min="8712" max="8712" width="26.28515625" customWidth="1"/>
    <col min="8713" max="8713" width="23" customWidth="1"/>
    <col min="8714" max="8714" width="28.42578125" customWidth="1"/>
    <col min="8715" max="8715" width="17.42578125" customWidth="1"/>
    <col min="8716" max="8717" width="13" customWidth="1"/>
    <col min="8718" max="8718" width="24" customWidth="1"/>
    <col min="8719" max="8719" width="15.28515625" customWidth="1"/>
    <col min="8720" max="8720" width="12" customWidth="1"/>
    <col min="8721" max="8721" width="87.85546875" customWidth="1"/>
    <col min="8722" max="8722" width="73.5703125" customWidth="1"/>
    <col min="8723" max="8724" width="16.28515625" customWidth="1"/>
    <col min="8725" max="8725" width="19.5703125" customWidth="1"/>
    <col min="8726" max="8726" width="12" customWidth="1"/>
    <col min="8727" max="8727" width="9.7109375" customWidth="1"/>
    <col min="8728" max="8728" width="15.28515625" customWidth="1"/>
    <col min="8729" max="8729" width="13" customWidth="1"/>
    <col min="8730" max="8730" width="12" customWidth="1"/>
    <col min="8731" max="8731" width="17.42578125" customWidth="1"/>
    <col min="8732" max="8732" width="26.28515625" customWidth="1"/>
    <col min="8733" max="8733" width="39.42578125" customWidth="1"/>
    <col min="8734" max="8734" width="21.85546875" customWidth="1"/>
    <col min="8735" max="8735" width="16.28515625" customWidth="1"/>
    <col min="8736" max="8736" width="28.42578125" customWidth="1"/>
    <col min="8737" max="8737" width="17.42578125" customWidth="1"/>
    <col min="8738" max="8738" width="29.5703125" customWidth="1"/>
    <col min="8739" max="8963" width="8.7109375" customWidth="1"/>
    <col min="8964" max="8964" width="23" customWidth="1"/>
    <col min="8965" max="8965" width="50.42578125" customWidth="1"/>
    <col min="8966" max="8966" width="16.28515625" customWidth="1"/>
    <col min="8967" max="8967" width="8.5703125" customWidth="1"/>
    <col min="8968" max="8968" width="26.28515625" customWidth="1"/>
    <col min="8969" max="8969" width="23" customWidth="1"/>
    <col min="8970" max="8970" width="28.42578125" customWidth="1"/>
    <col min="8971" max="8971" width="17.42578125" customWidth="1"/>
    <col min="8972" max="8973" width="13" customWidth="1"/>
    <col min="8974" max="8974" width="24" customWidth="1"/>
    <col min="8975" max="8975" width="15.28515625" customWidth="1"/>
    <col min="8976" max="8976" width="12" customWidth="1"/>
    <col min="8977" max="8977" width="87.85546875" customWidth="1"/>
    <col min="8978" max="8978" width="73.5703125" customWidth="1"/>
    <col min="8979" max="8980" width="16.28515625" customWidth="1"/>
    <col min="8981" max="8981" width="19.5703125" customWidth="1"/>
    <col min="8982" max="8982" width="12" customWidth="1"/>
    <col min="8983" max="8983" width="9.7109375" customWidth="1"/>
    <col min="8984" max="8984" width="15.28515625" customWidth="1"/>
    <col min="8985" max="8985" width="13" customWidth="1"/>
    <col min="8986" max="8986" width="12" customWidth="1"/>
    <col min="8987" max="8987" width="17.42578125" customWidth="1"/>
    <col min="8988" max="8988" width="26.28515625" customWidth="1"/>
    <col min="8989" max="8989" width="39.42578125" customWidth="1"/>
    <col min="8990" max="8990" width="21.85546875" customWidth="1"/>
    <col min="8991" max="8991" width="16.28515625" customWidth="1"/>
    <col min="8992" max="8992" width="28.42578125" customWidth="1"/>
    <col min="8993" max="8993" width="17.42578125" customWidth="1"/>
    <col min="8994" max="8994" width="29.5703125" customWidth="1"/>
    <col min="8995" max="9219" width="8.7109375" customWidth="1"/>
    <col min="9220" max="9220" width="23" customWidth="1"/>
    <col min="9221" max="9221" width="50.42578125" customWidth="1"/>
    <col min="9222" max="9222" width="16.28515625" customWidth="1"/>
    <col min="9223" max="9223" width="8.5703125" customWidth="1"/>
    <col min="9224" max="9224" width="26.28515625" customWidth="1"/>
    <col min="9225" max="9225" width="23" customWidth="1"/>
    <col min="9226" max="9226" width="28.42578125" customWidth="1"/>
    <col min="9227" max="9227" width="17.42578125" customWidth="1"/>
    <col min="9228" max="9229" width="13" customWidth="1"/>
    <col min="9230" max="9230" width="24" customWidth="1"/>
    <col min="9231" max="9231" width="15.28515625" customWidth="1"/>
    <col min="9232" max="9232" width="12" customWidth="1"/>
    <col min="9233" max="9233" width="87.85546875" customWidth="1"/>
    <col min="9234" max="9234" width="73.5703125" customWidth="1"/>
    <col min="9235" max="9236" width="16.28515625" customWidth="1"/>
    <col min="9237" max="9237" width="19.5703125" customWidth="1"/>
    <col min="9238" max="9238" width="12" customWidth="1"/>
    <col min="9239" max="9239" width="9.7109375" customWidth="1"/>
    <col min="9240" max="9240" width="15.28515625" customWidth="1"/>
    <col min="9241" max="9241" width="13" customWidth="1"/>
    <col min="9242" max="9242" width="12" customWidth="1"/>
    <col min="9243" max="9243" width="17.42578125" customWidth="1"/>
    <col min="9244" max="9244" width="26.28515625" customWidth="1"/>
    <col min="9245" max="9245" width="39.42578125" customWidth="1"/>
    <col min="9246" max="9246" width="21.85546875" customWidth="1"/>
    <col min="9247" max="9247" width="16.28515625" customWidth="1"/>
    <col min="9248" max="9248" width="28.42578125" customWidth="1"/>
    <col min="9249" max="9249" width="17.42578125" customWidth="1"/>
    <col min="9250" max="9250" width="29.5703125" customWidth="1"/>
    <col min="9251" max="9475" width="8.7109375" customWidth="1"/>
    <col min="9476" max="9476" width="23" customWidth="1"/>
    <col min="9477" max="9477" width="50.42578125" customWidth="1"/>
    <col min="9478" max="9478" width="16.28515625" customWidth="1"/>
    <col min="9479" max="9479" width="8.5703125" customWidth="1"/>
    <col min="9480" max="9480" width="26.28515625" customWidth="1"/>
    <col min="9481" max="9481" width="23" customWidth="1"/>
    <col min="9482" max="9482" width="28.42578125" customWidth="1"/>
    <col min="9483" max="9483" width="17.42578125" customWidth="1"/>
    <col min="9484" max="9485" width="13" customWidth="1"/>
    <col min="9486" max="9486" width="24" customWidth="1"/>
    <col min="9487" max="9487" width="15.28515625" customWidth="1"/>
    <col min="9488" max="9488" width="12" customWidth="1"/>
    <col min="9489" max="9489" width="87.85546875" customWidth="1"/>
    <col min="9490" max="9490" width="73.5703125" customWidth="1"/>
    <col min="9491" max="9492" width="16.28515625" customWidth="1"/>
    <col min="9493" max="9493" width="19.5703125" customWidth="1"/>
    <col min="9494" max="9494" width="12" customWidth="1"/>
    <col min="9495" max="9495" width="9.7109375" customWidth="1"/>
    <col min="9496" max="9496" width="15.28515625" customWidth="1"/>
    <col min="9497" max="9497" width="13" customWidth="1"/>
    <col min="9498" max="9498" width="12" customWidth="1"/>
    <col min="9499" max="9499" width="17.42578125" customWidth="1"/>
    <col min="9500" max="9500" width="26.28515625" customWidth="1"/>
    <col min="9501" max="9501" width="39.42578125" customWidth="1"/>
    <col min="9502" max="9502" width="21.85546875" customWidth="1"/>
    <col min="9503" max="9503" width="16.28515625" customWidth="1"/>
    <col min="9504" max="9504" width="28.42578125" customWidth="1"/>
    <col min="9505" max="9505" width="17.42578125" customWidth="1"/>
    <col min="9506" max="9506" width="29.5703125" customWidth="1"/>
    <col min="9507" max="9731" width="8.7109375" customWidth="1"/>
    <col min="9732" max="9732" width="23" customWidth="1"/>
    <col min="9733" max="9733" width="50.42578125" customWidth="1"/>
    <col min="9734" max="9734" width="16.28515625" customWidth="1"/>
    <col min="9735" max="9735" width="8.5703125" customWidth="1"/>
    <col min="9736" max="9736" width="26.28515625" customWidth="1"/>
    <col min="9737" max="9737" width="23" customWidth="1"/>
    <col min="9738" max="9738" width="28.42578125" customWidth="1"/>
    <col min="9739" max="9739" width="17.42578125" customWidth="1"/>
    <col min="9740" max="9741" width="13" customWidth="1"/>
    <col min="9742" max="9742" width="24" customWidth="1"/>
    <col min="9743" max="9743" width="15.28515625" customWidth="1"/>
    <col min="9744" max="9744" width="12" customWidth="1"/>
    <col min="9745" max="9745" width="87.85546875" customWidth="1"/>
    <col min="9746" max="9746" width="73.5703125" customWidth="1"/>
    <col min="9747" max="9748" width="16.28515625" customWidth="1"/>
    <col min="9749" max="9749" width="19.5703125" customWidth="1"/>
    <col min="9750" max="9750" width="12" customWidth="1"/>
    <col min="9751" max="9751" width="9.7109375" customWidth="1"/>
    <col min="9752" max="9752" width="15.28515625" customWidth="1"/>
    <col min="9753" max="9753" width="13" customWidth="1"/>
    <col min="9754" max="9754" width="12" customWidth="1"/>
    <col min="9755" max="9755" width="17.42578125" customWidth="1"/>
    <col min="9756" max="9756" width="26.28515625" customWidth="1"/>
    <col min="9757" max="9757" width="39.42578125" customWidth="1"/>
    <col min="9758" max="9758" width="21.85546875" customWidth="1"/>
    <col min="9759" max="9759" width="16.28515625" customWidth="1"/>
    <col min="9760" max="9760" width="28.42578125" customWidth="1"/>
    <col min="9761" max="9761" width="17.42578125" customWidth="1"/>
    <col min="9762" max="9762" width="29.5703125" customWidth="1"/>
    <col min="9763" max="9987" width="8.7109375" customWidth="1"/>
    <col min="9988" max="9988" width="23" customWidth="1"/>
    <col min="9989" max="9989" width="50.42578125" customWidth="1"/>
    <col min="9990" max="9990" width="16.28515625" customWidth="1"/>
    <col min="9991" max="9991" width="8.5703125" customWidth="1"/>
    <col min="9992" max="9992" width="26.28515625" customWidth="1"/>
    <col min="9993" max="9993" width="23" customWidth="1"/>
    <col min="9994" max="9994" width="28.42578125" customWidth="1"/>
    <col min="9995" max="9995" width="17.42578125" customWidth="1"/>
    <col min="9996" max="9997" width="13" customWidth="1"/>
    <col min="9998" max="9998" width="24" customWidth="1"/>
    <col min="9999" max="9999" width="15.28515625" customWidth="1"/>
    <col min="10000" max="10000" width="12" customWidth="1"/>
    <col min="10001" max="10001" width="87.85546875" customWidth="1"/>
    <col min="10002" max="10002" width="73.5703125" customWidth="1"/>
    <col min="10003" max="10004" width="16.28515625" customWidth="1"/>
    <col min="10005" max="10005" width="19.5703125" customWidth="1"/>
    <col min="10006" max="10006" width="12" customWidth="1"/>
    <col min="10007" max="10007" width="9.7109375" customWidth="1"/>
    <col min="10008" max="10008" width="15.28515625" customWidth="1"/>
    <col min="10009" max="10009" width="13" customWidth="1"/>
    <col min="10010" max="10010" width="12" customWidth="1"/>
    <col min="10011" max="10011" width="17.42578125" customWidth="1"/>
    <col min="10012" max="10012" width="26.28515625" customWidth="1"/>
    <col min="10013" max="10013" width="39.42578125" customWidth="1"/>
    <col min="10014" max="10014" width="21.85546875" customWidth="1"/>
    <col min="10015" max="10015" width="16.28515625" customWidth="1"/>
    <col min="10016" max="10016" width="28.42578125" customWidth="1"/>
    <col min="10017" max="10017" width="17.42578125" customWidth="1"/>
    <col min="10018" max="10018" width="29.5703125" customWidth="1"/>
    <col min="10019" max="10243" width="8.7109375" customWidth="1"/>
    <col min="10244" max="10244" width="23" customWidth="1"/>
    <col min="10245" max="10245" width="50.42578125" customWidth="1"/>
    <col min="10246" max="10246" width="16.28515625" customWidth="1"/>
    <col min="10247" max="10247" width="8.5703125" customWidth="1"/>
    <col min="10248" max="10248" width="26.28515625" customWidth="1"/>
    <col min="10249" max="10249" width="23" customWidth="1"/>
    <col min="10250" max="10250" width="28.42578125" customWidth="1"/>
    <col min="10251" max="10251" width="17.42578125" customWidth="1"/>
    <col min="10252" max="10253" width="13" customWidth="1"/>
    <col min="10254" max="10254" width="24" customWidth="1"/>
    <col min="10255" max="10255" width="15.28515625" customWidth="1"/>
    <col min="10256" max="10256" width="12" customWidth="1"/>
    <col min="10257" max="10257" width="87.85546875" customWidth="1"/>
    <col min="10258" max="10258" width="73.5703125" customWidth="1"/>
    <col min="10259" max="10260" width="16.28515625" customWidth="1"/>
    <col min="10261" max="10261" width="19.5703125" customWidth="1"/>
    <col min="10262" max="10262" width="12" customWidth="1"/>
    <col min="10263" max="10263" width="9.7109375" customWidth="1"/>
    <col min="10264" max="10264" width="15.28515625" customWidth="1"/>
    <col min="10265" max="10265" width="13" customWidth="1"/>
    <col min="10266" max="10266" width="12" customWidth="1"/>
    <col min="10267" max="10267" width="17.42578125" customWidth="1"/>
    <col min="10268" max="10268" width="26.28515625" customWidth="1"/>
    <col min="10269" max="10269" width="39.42578125" customWidth="1"/>
    <col min="10270" max="10270" width="21.85546875" customWidth="1"/>
    <col min="10271" max="10271" width="16.28515625" customWidth="1"/>
    <col min="10272" max="10272" width="28.42578125" customWidth="1"/>
    <col min="10273" max="10273" width="17.42578125" customWidth="1"/>
    <col min="10274" max="10274" width="29.5703125" customWidth="1"/>
    <col min="10275" max="10499" width="8.7109375" customWidth="1"/>
    <col min="10500" max="10500" width="23" customWidth="1"/>
    <col min="10501" max="10501" width="50.42578125" customWidth="1"/>
    <col min="10502" max="10502" width="16.28515625" customWidth="1"/>
    <col min="10503" max="10503" width="8.5703125" customWidth="1"/>
    <col min="10504" max="10504" width="26.28515625" customWidth="1"/>
    <col min="10505" max="10505" width="23" customWidth="1"/>
    <col min="10506" max="10506" width="28.42578125" customWidth="1"/>
    <col min="10507" max="10507" width="17.42578125" customWidth="1"/>
    <col min="10508" max="10509" width="13" customWidth="1"/>
    <col min="10510" max="10510" width="24" customWidth="1"/>
    <col min="10511" max="10511" width="15.28515625" customWidth="1"/>
    <col min="10512" max="10512" width="12" customWidth="1"/>
    <col min="10513" max="10513" width="87.85546875" customWidth="1"/>
    <col min="10514" max="10514" width="73.5703125" customWidth="1"/>
    <col min="10515" max="10516" width="16.28515625" customWidth="1"/>
    <col min="10517" max="10517" width="19.5703125" customWidth="1"/>
    <col min="10518" max="10518" width="12" customWidth="1"/>
    <col min="10519" max="10519" width="9.7109375" customWidth="1"/>
    <col min="10520" max="10520" width="15.28515625" customWidth="1"/>
    <col min="10521" max="10521" width="13" customWidth="1"/>
    <col min="10522" max="10522" width="12" customWidth="1"/>
    <col min="10523" max="10523" width="17.42578125" customWidth="1"/>
    <col min="10524" max="10524" width="26.28515625" customWidth="1"/>
    <col min="10525" max="10525" width="39.42578125" customWidth="1"/>
    <col min="10526" max="10526" width="21.85546875" customWidth="1"/>
    <col min="10527" max="10527" width="16.28515625" customWidth="1"/>
    <col min="10528" max="10528" width="28.42578125" customWidth="1"/>
    <col min="10529" max="10529" width="17.42578125" customWidth="1"/>
    <col min="10530" max="10530" width="29.5703125" customWidth="1"/>
    <col min="10531" max="10755" width="8.7109375" customWidth="1"/>
    <col min="10756" max="10756" width="23" customWidth="1"/>
    <col min="10757" max="10757" width="50.42578125" customWidth="1"/>
    <col min="10758" max="10758" width="16.28515625" customWidth="1"/>
    <col min="10759" max="10759" width="8.5703125" customWidth="1"/>
    <col min="10760" max="10760" width="26.28515625" customWidth="1"/>
    <col min="10761" max="10761" width="23" customWidth="1"/>
    <col min="10762" max="10762" width="28.42578125" customWidth="1"/>
    <col min="10763" max="10763" width="17.42578125" customWidth="1"/>
    <col min="10764" max="10765" width="13" customWidth="1"/>
    <col min="10766" max="10766" width="24" customWidth="1"/>
    <col min="10767" max="10767" width="15.28515625" customWidth="1"/>
    <col min="10768" max="10768" width="12" customWidth="1"/>
    <col min="10769" max="10769" width="87.85546875" customWidth="1"/>
    <col min="10770" max="10770" width="73.5703125" customWidth="1"/>
    <col min="10771" max="10772" width="16.28515625" customWidth="1"/>
    <col min="10773" max="10773" width="19.5703125" customWidth="1"/>
    <col min="10774" max="10774" width="12" customWidth="1"/>
    <col min="10775" max="10775" width="9.7109375" customWidth="1"/>
    <col min="10776" max="10776" width="15.28515625" customWidth="1"/>
    <col min="10777" max="10777" width="13" customWidth="1"/>
    <col min="10778" max="10778" width="12" customWidth="1"/>
    <col min="10779" max="10779" width="17.42578125" customWidth="1"/>
    <col min="10780" max="10780" width="26.28515625" customWidth="1"/>
    <col min="10781" max="10781" width="39.42578125" customWidth="1"/>
    <col min="10782" max="10782" width="21.85546875" customWidth="1"/>
    <col min="10783" max="10783" width="16.28515625" customWidth="1"/>
    <col min="10784" max="10784" width="28.42578125" customWidth="1"/>
    <col min="10785" max="10785" width="17.42578125" customWidth="1"/>
    <col min="10786" max="10786" width="29.5703125" customWidth="1"/>
    <col min="10787" max="11011" width="8.7109375" customWidth="1"/>
    <col min="11012" max="11012" width="23" customWidth="1"/>
    <col min="11013" max="11013" width="50.42578125" customWidth="1"/>
    <col min="11014" max="11014" width="16.28515625" customWidth="1"/>
    <col min="11015" max="11015" width="8.5703125" customWidth="1"/>
    <col min="11016" max="11016" width="26.28515625" customWidth="1"/>
    <col min="11017" max="11017" width="23" customWidth="1"/>
    <col min="11018" max="11018" width="28.42578125" customWidth="1"/>
    <col min="11019" max="11019" width="17.42578125" customWidth="1"/>
    <col min="11020" max="11021" width="13" customWidth="1"/>
    <col min="11022" max="11022" width="24" customWidth="1"/>
    <col min="11023" max="11023" width="15.28515625" customWidth="1"/>
    <col min="11024" max="11024" width="12" customWidth="1"/>
    <col min="11025" max="11025" width="87.85546875" customWidth="1"/>
    <col min="11026" max="11026" width="73.5703125" customWidth="1"/>
    <col min="11027" max="11028" width="16.28515625" customWidth="1"/>
    <col min="11029" max="11029" width="19.5703125" customWidth="1"/>
    <col min="11030" max="11030" width="12" customWidth="1"/>
    <col min="11031" max="11031" width="9.7109375" customWidth="1"/>
    <col min="11032" max="11032" width="15.28515625" customWidth="1"/>
    <col min="11033" max="11033" width="13" customWidth="1"/>
    <col min="11034" max="11034" width="12" customWidth="1"/>
    <col min="11035" max="11035" width="17.42578125" customWidth="1"/>
    <col min="11036" max="11036" width="26.28515625" customWidth="1"/>
    <col min="11037" max="11037" width="39.42578125" customWidth="1"/>
    <col min="11038" max="11038" width="21.85546875" customWidth="1"/>
    <col min="11039" max="11039" width="16.28515625" customWidth="1"/>
    <col min="11040" max="11040" width="28.42578125" customWidth="1"/>
    <col min="11041" max="11041" width="17.42578125" customWidth="1"/>
    <col min="11042" max="11042" width="29.5703125" customWidth="1"/>
    <col min="11043" max="11267" width="8.7109375" customWidth="1"/>
    <col min="11268" max="11268" width="23" customWidth="1"/>
    <col min="11269" max="11269" width="50.42578125" customWidth="1"/>
    <col min="11270" max="11270" width="16.28515625" customWidth="1"/>
    <col min="11271" max="11271" width="8.5703125" customWidth="1"/>
    <col min="11272" max="11272" width="26.28515625" customWidth="1"/>
    <col min="11273" max="11273" width="23" customWidth="1"/>
    <col min="11274" max="11274" width="28.42578125" customWidth="1"/>
    <col min="11275" max="11275" width="17.42578125" customWidth="1"/>
    <col min="11276" max="11277" width="13" customWidth="1"/>
    <col min="11278" max="11278" width="24" customWidth="1"/>
    <col min="11279" max="11279" width="15.28515625" customWidth="1"/>
    <col min="11280" max="11280" width="12" customWidth="1"/>
    <col min="11281" max="11281" width="87.85546875" customWidth="1"/>
    <col min="11282" max="11282" width="73.5703125" customWidth="1"/>
    <col min="11283" max="11284" width="16.28515625" customWidth="1"/>
    <col min="11285" max="11285" width="19.5703125" customWidth="1"/>
    <col min="11286" max="11286" width="12" customWidth="1"/>
    <col min="11287" max="11287" width="9.7109375" customWidth="1"/>
    <col min="11288" max="11288" width="15.28515625" customWidth="1"/>
    <col min="11289" max="11289" width="13" customWidth="1"/>
    <col min="11290" max="11290" width="12" customWidth="1"/>
    <col min="11291" max="11291" width="17.42578125" customWidth="1"/>
    <col min="11292" max="11292" width="26.28515625" customWidth="1"/>
    <col min="11293" max="11293" width="39.42578125" customWidth="1"/>
    <col min="11294" max="11294" width="21.85546875" customWidth="1"/>
    <col min="11295" max="11295" width="16.28515625" customWidth="1"/>
    <col min="11296" max="11296" width="28.42578125" customWidth="1"/>
    <col min="11297" max="11297" width="17.42578125" customWidth="1"/>
    <col min="11298" max="11298" width="29.5703125" customWidth="1"/>
    <col min="11299" max="11523" width="8.7109375" customWidth="1"/>
    <col min="11524" max="11524" width="23" customWidth="1"/>
    <col min="11525" max="11525" width="50.42578125" customWidth="1"/>
    <col min="11526" max="11526" width="16.28515625" customWidth="1"/>
    <col min="11527" max="11527" width="8.5703125" customWidth="1"/>
    <col min="11528" max="11528" width="26.28515625" customWidth="1"/>
    <col min="11529" max="11529" width="23" customWidth="1"/>
    <col min="11530" max="11530" width="28.42578125" customWidth="1"/>
    <col min="11531" max="11531" width="17.42578125" customWidth="1"/>
    <col min="11532" max="11533" width="13" customWidth="1"/>
    <col min="11534" max="11534" width="24" customWidth="1"/>
    <col min="11535" max="11535" width="15.28515625" customWidth="1"/>
    <col min="11536" max="11536" width="12" customWidth="1"/>
    <col min="11537" max="11537" width="87.85546875" customWidth="1"/>
    <col min="11538" max="11538" width="73.5703125" customWidth="1"/>
    <col min="11539" max="11540" width="16.28515625" customWidth="1"/>
    <col min="11541" max="11541" width="19.5703125" customWidth="1"/>
    <col min="11542" max="11542" width="12" customWidth="1"/>
    <col min="11543" max="11543" width="9.7109375" customWidth="1"/>
    <col min="11544" max="11544" width="15.28515625" customWidth="1"/>
    <col min="11545" max="11545" width="13" customWidth="1"/>
    <col min="11546" max="11546" width="12" customWidth="1"/>
    <col min="11547" max="11547" width="17.42578125" customWidth="1"/>
    <col min="11548" max="11548" width="26.28515625" customWidth="1"/>
    <col min="11549" max="11549" width="39.42578125" customWidth="1"/>
    <col min="11550" max="11550" width="21.85546875" customWidth="1"/>
    <col min="11551" max="11551" width="16.28515625" customWidth="1"/>
    <col min="11552" max="11552" width="28.42578125" customWidth="1"/>
    <col min="11553" max="11553" width="17.42578125" customWidth="1"/>
    <col min="11554" max="11554" width="29.5703125" customWidth="1"/>
    <col min="11555" max="11779" width="8.7109375" customWidth="1"/>
    <col min="11780" max="11780" width="23" customWidth="1"/>
    <col min="11781" max="11781" width="50.42578125" customWidth="1"/>
    <col min="11782" max="11782" width="16.28515625" customWidth="1"/>
    <col min="11783" max="11783" width="8.5703125" customWidth="1"/>
    <col min="11784" max="11784" width="26.28515625" customWidth="1"/>
    <col min="11785" max="11785" width="23" customWidth="1"/>
    <col min="11786" max="11786" width="28.42578125" customWidth="1"/>
    <col min="11787" max="11787" width="17.42578125" customWidth="1"/>
    <col min="11788" max="11789" width="13" customWidth="1"/>
    <col min="11790" max="11790" width="24" customWidth="1"/>
    <col min="11791" max="11791" width="15.28515625" customWidth="1"/>
    <col min="11792" max="11792" width="12" customWidth="1"/>
    <col min="11793" max="11793" width="87.85546875" customWidth="1"/>
    <col min="11794" max="11794" width="73.5703125" customWidth="1"/>
    <col min="11795" max="11796" width="16.28515625" customWidth="1"/>
    <col min="11797" max="11797" width="19.5703125" customWidth="1"/>
    <col min="11798" max="11798" width="12" customWidth="1"/>
    <col min="11799" max="11799" width="9.7109375" customWidth="1"/>
    <col min="11800" max="11800" width="15.28515625" customWidth="1"/>
    <col min="11801" max="11801" width="13" customWidth="1"/>
    <col min="11802" max="11802" width="12" customWidth="1"/>
    <col min="11803" max="11803" width="17.42578125" customWidth="1"/>
    <col min="11804" max="11804" width="26.28515625" customWidth="1"/>
    <col min="11805" max="11805" width="39.42578125" customWidth="1"/>
    <col min="11806" max="11806" width="21.85546875" customWidth="1"/>
    <col min="11807" max="11807" width="16.28515625" customWidth="1"/>
    <col min="11808" max="11808" width="28.42578125" customWidth="1"/>
    <col min="11809" max="11809" width="17.42578125" customWidth="1"/>
    <col min="11810" max="11810" width="29.5703125" customWidth="1"/>
    <col min="11811" max="12035" width="8.7109375" customWidth="1"/>
    <col min="12036" max="12036" width="23" customWidth="1"/>
    <col min="12037" max="12037" width="50.42578125" customWidth="1"/>
    <col min="12038" max="12038" width="16.28515625" customWidth="1"/>
    <col min="12039" max="12039" width="8.5703125" customWidth="1"/>
    <col min="12040" max="12040" width="26.28515625" customWidth="1"/>
    <col min="12041" max="12041" width="23" customWidth="1"/>
    <col min="12042" max="12042" width="28.42578125" customWidth="1"/>
    <col min="12043" max="12043" width="17.42578125" customWidth="1"/>
    <col min="12044" max="12045" width="13" customWidth="1"/>
    <col min="12046" max="12046" width="24" customWidth="1"/>
    <col min="12047" max="12047" width="15.28515625" customWidth="1"/>
    <col min="12048" max="12048" width="12" customWidth="1"/>
    <col min="12049" max="12049" width="87.85546875" customWidth="1"/>
    <col min="12050" max="12050" width="73.5703125" customWidth="1"/>
    <col min="12051" max="12052" width="16.28515625" customWidth="1"/>
    <col min="12053" max="12053" width="19.5703125" customWidth="1"/>
    <col min="12054" max="12054" width="12" customWidth="1"/>
    <col min="12055" max="12055" width="9.7109375" customWidth="1"/>
    <col min="12056" max="12056" width="15.28515625" customWidth="1"/>
    <col min="12057" max="12057" width="13" customWidth="1"/>
    <col min="12058" max="12058" width="12" customWidth="1"/>
    <col min="12059" max="12059" width="17.42578125" customWidth="1"/>
    <col min="12060" max="12060" width="26.28515625" customWidth="1"/>
    <col min="12061" max="12061" width="39.42578125" customWidth="1"/>
    <col min="12062" max="12062" width="21.85546875" customWidth="1"/>
    <col min="12063" max="12063" width="16.28515625" customWidth="1"/>
    <col min="12064" max="12064" width="28.42578125" customWidth="1"/>
    <col min="12065" max="12065" width="17.42578125" customWidth="1"/>
    <col min="12066" max="12066" width="29.5703125" customWidth="1"/>
    <col min="12067" max="12291" width="8.7109375" customWidth="1"/>
    <col min="12292" max="12292" width="23" customWidth="1"/>
    <col min="12293" max="12293" width="50.42578125" customWidth="1"/>
    <col min="12294" max="12294" width="16.28515625" customWidth="1"/>
    <col min="12295" max="12295" width="8.5703125" customWidth="1"/>
    <col min="12296" max="12296" width="26.28515625" customWidth="1"/>
    <col min="12297" max="12297" width="23" customWidth="1"/>
    <col min="12298" max="12298" width="28.42578125" customWidth="1"/>
    <col min="12299" max="12299" width="17.42578125" customWidth="1"/>
    <col min="12300" max="12301" width="13" customWidth="1"/>
    <col min="12302" max="12302" width="24" customWidth="1"/>
    <col min="12303" max="12303" width="15.28515625" customWidth="1"/>
    <col min="12304" max="12304" width="12" customWidth="1"/>
    <col min="12305" max="12305" width="87.85546875" customWidth="1"/>
    <col min="12306" max="12306" width="73.5703125" customWidth="1"/>
    <col min="12307" max="12308" width="16.28515625" customWidth="1"/>
    <col min="12309" max="12309" width="19.5703125" customWidth="1"/>
    <col min="12310" max="12310" width="12" customWidth="1"/>
    <col min="12311" max="12311" width="9.7109375" customWidth="1"/>
    <col min="12312" max="12312" width="15.28515625" customWidth="1"/>
    <col min="12313" max="12313" width="13" customWidth="1"/>
    <col min="12314" max="12314" width="12" customWidth="1"/>
    <col min="12315" max="12315" width="17.42578125" customWidth="1"/>
    <col min="12316" max="12316" width="26.28515625" customWidth="1"/>
    <col min="12317" max="12317" width="39.42578125" customWidth="1"/>
    <col min="12318" max="12318" width="21.85546875" customWidth="1"/>
    <col min="12319" max="12319" width="16.28515625" customWidth="1"/>
    <col min="12320" max="12320" width="28.42578125" customWidth="1"/>
    <col min="12321" max="12321" width="17.42578125" customWidth="1"/>
    <col min="12322" max="12322" width="29.5703125" customWidth="1"/>
    <col min="12323" max="12547" width="8.7109375" customWidth="1"/>
    <col min="12548" max="12548" width="23" customWidth="1"/>
    <col min="12549" max="12549" width="50.42578125" customWidth="1"/>
    <col min="12550" max="12550" width="16.28515625" customWidth="1"/>
    <col min="12551" max="12551" width="8.5703125" customWidth="1"/>
    <col min="12552" max="12552" width="26.28515625" customWidth="1"/>
    <col min="12553" max="12553" width="23" customWidth="1"/>
    <col min="12554" max="12554" width="28.42578125" customWidth="1"/>
    <col min="12555" max="12555" width="17.42578125" customWidth="1"/>
    <col min="12556" max="12557" width="13" customWidth="1"/>
    <col min="12558" max="12558" width="24" customWidth="1"/>
    <col min="12559" max="12559" width="15.28515625" customWidth="1"/>
    <col min="12560" max="12560" width="12" customWidth="1"/>
    <col min="12561" max="12561" width="87.85546875" customWidth="1"/>
    <col min="12562" max="12562" width="73.5703125" customWidth="1"/>
    <col min="12563" max="12564" width="16.28515625" customWidth="1"/>
    <col min="12565" max="12565" width="19.5703125" customWidth="1"/>
    <col min="12566" max="12566" width="12" customWidth="1"/>
    <col min="12567" max="12567" width="9.7109375" customWidth="1"/>
    <col min="12568" max="12568" width="15.28515625" customWidth="1"/>
    <col min="12569" max="12569" width="13" customWidth="1"/>
    <col min="12570" max="12570" width="12" customWidth="1"/>
    <col min="12571" max="12571" width="17.42578125" customWidth="1"/>
    <col min="12572" max="12572" width="26.28515625" customWidth="1"/>
    <col min="12573" max="12573" width="39.42578125" customWidth="1"/>
    <col min="12574" max="12574" width="21.85546875" customWidth="1"/>
    <col min="12575" max="12575" width="16.28515625" customWidth="1"/>
    <col min="12576" max="12576" width="28.42578125" customWidth="1"/>
    <col min="12577" max="12577" width="17.42578125" customWidth="1"/>
    <col min="12578" max="12578" width="29.5703125" customWidth="1"/>
    <col min="12579" max="12803" width="8.7109375" customWidth="1"/>
    <col min="12804" max="12804" width="23" customWidth="1"/>
    <col min="12805" max="12805" width="50.42578125" customWidth="1"/>
    <col min="12806" max="12806" width="16.28515625" customWidth="1"/>
    <col min="12807" max="12807" width="8.5703125" customWidth="1"/>
    <col min="12808" max="12808" width="26.28515625" customWidth="1"/>
    <col min="12809" max="12809" width="23" customWidth="1"/>
    <col min="12810" max="12810" width="28.42578125" customWidth="1"/>
    <col min="12811" max="12811" width="17.42578125" customWidth="1"/>
    <col min="12812" max="12813" width="13" customWidth="1"/>
    <col min="12814" max="12814" width="24" customWidth="1"/>
    <col min="12815" max="12815" width="15.28515625" customWidth="1"/>
    <col min="12816" max="12816" width="12" customWidth="1"/>
    <col min="12817" max="12817" width="87.85546875" customWidth="1"/>
    <col min="12818" max="12818" width="73.5703125" customWidth="1"/>
    <col min="12819" max="12820" width="16.28515625" customWidth="1"/>
    <col min="12821" max="12821" width="19.5703125" customWidth="1"/>
    <col min="12822" max="12822" width="12" customWidth="1"/>
    <col min="12823" max="12823" width="9.7109375" customWidth="1"/>
    <col min="12824" max="12824" width="15.28515625" customWidth="1"/>
    <col min="12825" max="12825" width="13" customWidth="1"/>
    <col min="12826" max="12826" width="12" customWidth="1"/>
    <col min="12827" max="12827" width="17.42578125" customWidth="1"/>
    <col min="12828" max="12828" width="26.28515625" customWidth="1"/>
    <col min="12829" max="12829" width="39.42578125" customWidth="1"/>
    <col min="12830" max="12830" width="21.85546875" customWidth="1"/>
    <col min="12831" max="12831" width="16.28515625" customWidth="1"/>
    <col min="12832" max="12832" width="28.42578125" customWidth="1"/>
    <col min="12833" max="12833" width="17.42578125" customWidth="1"/>
    <col min="12834" max="12834" width="29.5703125" customWidth="1"/>
    <col min="12835" max="13059" width="8.7109375" customWidth="1"/>
    <col min="13060" max="13060" width="23" customWidth="1"/>
    <col min="13061" max="13061" width="50.42578125" customWidth="1"/>
    <col min="13062" max="13062" width="16.28515625" customWidth="1"/>
    <col min="13063" max="13063" width="8.5703125" customWidth="1"/>
    <col min="13064" max="13064" width="26.28515625" customWidth="1"/>
    <col min="13065" max="13065" width="23" customWidth="1"/>
    <col min="13066" max="13066" width="28.42578125" customWidth="1"/>
    <col min="13067" max="13067" width="17.42578125" customWidth="1"/>
    <col min="13068" max="13069" width="13" customWidth="1"/>
    <col min="13070" max="13070" width="24" customWidth="1"/>
    <col min="13071" max="13071" width="15.28515625" customWidth="1"/>
    <col min="13072" max="13072" width="12" customWidth="1"/>
    <col min="13073" max="13073" width="87.85546875" customWidth="1"/>
    <col min="13074" max="13074" width="73.5703125" customWidth="1"/>
    <col min="13075" max="13076" width="16.28515625" customWidth="1"/>
    <col min="13077" max="13077" width="19.5703125" customWidth="1"/>
    <col min="13078" max="13078" width="12" customWidth="1"/>
    <col min="13079" max="13079" width="9.7109375" customWidth="1"/>
    <col min="13080" max="13080" width="15.28515625" customWidth="1"/>
    <col min="13081" max="13081" width="13" customWidth="1"/>
    <col min="13082" max="13082" width="12" customWidth="1"/>
    <col min="13083" max="13083" width="17.42578125" customWidth="1"/>
    <col min="13084" max="13084" width="26.28515625" customWidth="1"/>
    <col min="13085" max="13085" width="39.42578125" customWidth="1"/>
    <col min="13086" max="13086" width="21.85546875" customWidth="1"/>
    <col min="13087" max="13087" width="16.28515625" customWidth="1"/>
    <col min="13088" max="13088" width="28.42578125" customWidth="1"/>
    <col min="13089" max="13089" width="17.42578125" customWidth="1"/>
    <col min="13090" max="13090" width="29.5703125" customWidth="1"/>
    <col min="13091" max="13315" width="8.7109375" customWidth="1"/>
    <col min="13316" max="13316" width="23" customWidth="1"/>
    <col min="13317" max="13317" width="50.42578125" customWidth="1"/>
    <col min="13318" max="13318" width="16.28515625" customWidth="1"/>
    <col min="13319" max="13319" width="8.5703125" customWidth="1"/>
    <col min="13320" max="13320" width="26.28515625" customWidth="1"/>
    <col min="13321" max="13321" width="23" customWidth="1"/>
    <col min="13322" max="13322" width="28.42578125" customWidth="1"/>
    <col min="13323" max="13323" width="17.42578125" customWidth="1"/>
    <col min="13324" max="13325" width="13" customWidth="1"/>
    <col min="13326" max="13326" width="24" customWidth="1"/>
    <col min="13327" max="13327" width="15.28515625" customWidth="1"/>
    <col min="13328" max="13328" width="12" customWidth="1"/>
    <col min="13329" max="13329" width="87.85546875" customWidth="1"/>
    <col min="13330" max="13330" width="73.5703125" customWidth="1"/>
    <col min="13331" max="13332" width="16.28515625" customWidth="1"/>
    <col min="13333" max="13333" width="19.5703125" customWidth="1"/>
    <col min="13334" max="13334" width="12" customWidth="1"/>
    <col min="13335" max="13335" width="9.7109375" customWidth="1"/>
    <col min="13336" max="13336" width="15.28515625" customWidth="1"/>
    <col min="13337" max="13337" width="13" customWidth="1"/>
    <col min="13338" max="13338" width="12" customWidth="1"/>
    <col min="13339" max="13339" width="17.42578125" customWidth="1"/>
    <col min="13340" max="13340" width="26.28515625" customWidth="1"/>
    <col min="13341" max="13341" width="39.42578125" customWidth="1"/>
    <col min="13342" max="13342" width="21.85546875" customWidth="1"/>
    <col min="13343" max="13343" width="16.28515625" customWidth="1"/>
    <col min="13344" max="13344" width="28.42578125" customWidth="1"/>
    <col min="13345" max="13345" width="17.42578125" customWidth="1"/>
    <col min="13346" max="13346" width="29.5703125" customWidth="1"/>
    <col min="13347" max="13571" width="8.7109375" customWidth="1"/>
    <col min="13572" max="13572" width="23" customWidth="1"/>
    <col min="13573" max="13573" width="50.42578125" customWidth="1"/>
    <col min="13574" max="13574" width="16.28515625" customWidth="1"/>
    <col min="13575" max="13575" width="8.5703125" customWidth="1"/>
    <col min="13576" max="13576" width="26.28515625" customWidth="1"/>
    <col min="13577" max="13577" width="23" customWidth="1"/>
    <col min="13578" max="13578" width="28.42578125" customWidth="1"/>
    <col min="13579" max="13579" width="17.42578125" customWidth="1"/>
    <col min="13580" max="13581" width="13" customWidth="1"/>
    <col min="13582" max="13582" width="24" customWidth="1"/>
    <col min="13583" max="13583" width="15.28515625" customWidth="1"/>
    <col min="13584" max="13584" width="12" customWidth="1"/>
    <col min="13585" max="13585" width="87.85546875" customWidth="1"/>
    <col min="13586" max="13586" width="73.5703125" customWidth="1"/>
    <col min="13587" max="13588" width="16.28515625" customWidth="1"/>
    <col min="13589" max="13589" width="19.5703125" customWidth="1"/>
    <col min="13590" max="13590" width="12" customWidth="1"/>
    <col min="13591" max="13591" width="9.7109375" customWidth="1"/>
    <col min="13592" max="13592" width="15.28515625" customWidth="1"/>
    <col min="13593" max="13593" width="13" customWidth="1"/>
    <col min="13594" max="13594" width="12" customWidth="1"/>
    <col min="13595" max="13595" width="17.42578125" customWidth="1"/>
    <col min="13596" max="13596" width="26.28515625" customWidth="1"/>
    <col min="13597" max="13597" width="39.42578125" customWidth="1"/>
    <col min="13598" max="13598" width="21.85546875" customWidth="1"/>
    <col min="13599" max="13599" width="16.28515625" customWidth="1"/>
    <col min="13600" max="13600" width="28.42578125" customWidth="1"/>
    <col min="13601" max="13601" width="17.42578125" customWidth="1"/>
    <col min="13602" max="13602" width="29.5703125" customWidth="1"/>
    <col min="13603" max="13827" width="8.7109375" customWidth="1"/>
    <col min="13828" max="13828" width="23" customWidth="1"/>
    <col min="13829" max="13829" width="50.42578125" customWidth="1"/>
    <col min="13830" max="13830" width="16.28515625" customWidth="1"/>
    <col min="13831" max="13831" width="8.5703125" customWidth="1"/>
    <col min="13832" max="13832" width="26.28515625" customWidth="1"/>
    <col min="13833" max="13833" width="23" customWidth="1"/>
    <col min="13834" max="13834" width="28.42578125" customWidth="1"/>
    <col min="13835" max="13835" width="17.42578125" customWidth="1"/>
    <col min="13836" max="13837" width="13" customWidth="1"/>
    <col min="13838" max="13838" width="24" customWidth="1"/>
    <col min="13839" max="13839" width="15.28515625" customWidth="1"/>
    <col min="13840" max="13840" width="12" customWidth="1"/>
    <col min="13841" max="13841" width="87.85546875" customWidth="1"/>
    <col min="13842" max="13842" width="73.5703125" customWidth="1"/>
    <col min="13843" max="13844" width="16.28515625" customWidth="1"/>
    <col min="13845" max="13845" width="19.5703125" customWidth="1"/>
    <col min="13846" max="13846" width="12" customWidth="1"/>
    <col min="13847" max="13847" width="9.7109375" customWidth="1"/>
    <col min="13848" max="13848" width="15.28515625" customWidth="1"/>
    <col min="13849" max="13849" width="13" customWidth="1"/>
    <col min="13850" max="13850" width="12" customWidth="1"/>
    <col min="13851" max="13851" width="17.42578125" customWidth="1"/>
    <col min="13852" max="13852" width="26.28515625" customWidth="1"/>
    <col min="13853" max="13853" width="39.42578125" customWidth="1"/>
    <col min="13854" max="13854" width="21.85546875" customWidth="1"/>
    <col min="13855" max="13855" width="16.28515625" customWidth="1"/>
    <col min="13856" max="13856" width="28.42578125" customWidth="1"/>
    <col min="13857" max="13857" width="17.42578125" customWidth="1"/>
    <col min="13858" max="13858" width="29.5703125" customWidth="1"/>
    <col min="13859" max="14083" width="8.7109375" customWidth="1"/>
    <col min="14084" max="14084" width="23" customWidth="1"/>
    <col min="14085" max="14085" width="50.42578125" customWidth="1"/>
    <col min="14086" max="14086" width="16.28515625" customWidth="1"/>
    <col min="14087" max="14087" width="8.5703125" customWidth="1"/>
    <col min="14088" max="14088" width="26.28515625" customWidth="1"/>
    <col min="14089" max="14089" width="23" customWidth="1"/>
    <col min="14090" max="14090" width="28.42578125" customWidth="1"/>
    <col min="14091" max="14091" width="17.42578125" customWidth="1"/>
    <col min="14092" max="14093" width="13" customWidth="1"/>
    <col min="14094" max="14094" width="24" customWidth="1"/>
    <col min="14095" max="14095" width="15.28515625" customWidth="1"/>
    <col min="14096" max="14096" width="12" customWidth="1"/>
    <col min="14097" max="14097" width="87.85546875" customWidth="1"/>
    <col min="14098" max="14098" width="73.5703125" customWidth="1"/>
    <col min="14099" max="14100" width="16.28515625" customWidth="1"/>
    <col min="14101" max="14101" width="19.5703125" customWidth="1"/>
    <col min="14102" max="14102" width="12" customWidth="1"/>
    <col min="14103" max="14103" width="9.7109375" customWidth="1"/>
    <col min="14104" max="14104" width="15.28515625" customWidth="1"/>
    <col min="14105" max="14105" width="13" customWidth="1"/>
    <col min="14106" max="14106" width="12" customWidth="1"/>
    <col min="14107" max="14107" width="17.42578125" customWidth="1"/>
    <col min="14108" max="14108" width="26.28515625" customWidth="1"/>
    <col min="14109" max="14109" width="39.42578125" customWidth="1"/>
    <col min="14110" max="14110" width="21.85546875" customWidth="1"/>
    <col min="14111" max="14111" width="16.28515625" customWidth="1"/>
    <col min="14112" max="14112" width="28.42578125" customWidth="1"/>
    <col min="14113" max="14113" width="17.42578125" customWidth="1"/>
    <col min="14114" max="14114" width="29.5703125" customWidth="1"/>
    <col min="14115" max="14339" width="8.7109375" customWidth="1"/>
    <col min="14340" max="14340" width="23" customWidth="1"/>
    <col min="14341" max="14341" width="50.42578125" customWidth="1"/>
    <col min="14342" max="14342" width="16.28515625" customWidth="1"/>
    <col min="14343" max="14343" width="8.5703125" customWidth="1"/>
    <col min="14344" max="14344" width="26.28515625" customWidth="1"/>
    <col min="14345" max="14345" width="23" customWidth="1"/>
    <col min="14346" max="14346" width="28.42578125" customWidth="1"/>
    <col min="14347" max="14347" width="17.42578125" customWidth="1"/>
    <col min="14348" max="14349" width="13" customWidth="1"/>
    <col min="14350" max="14350" width="24" customWidth="1"/>
    <col min="14351" max="14351" width="15.28515625" customWidth="1"/>
    <col min="14352" max="14352" width="12" customWidth="1"/>
    <col min="14353" max="14353" width="87.85546875" customWidth="1"/>
    <col min="14354" max="14354" width="73.5703125" customWidth="1"/>
    <col min="14355" max="14356" width="16.28515625" customWidth="1"/>
    <col min="14357" max="14357" width="19.5703125" customWidth="1"/>
    <col min="14358" max="14358" width="12" customWidth="1"/>
    <col min="14359" max="14359" width="9.7109375" customWidth="1"/>
    <col min="14360" max="14360" width="15.28515625" customWidth="1"/>
    <col min="14361" max="14361" width="13" customWidth="1"/>
    <col min="14362" max="14362" width="12" customWidth="1"/>
    <col min="14363" max="14363" width="17.42578125" customWidth="1"/>
    <col min="14364" max="14364" width="26.28515625" customWidth="1"/>
    <col min="14365" max="14365" width="39.42578125" customWidth="1"/>
    <col min="14366" max="14366" width="21.85546875" customWidth="1"/>
    <col min="14367" max="14367" width="16.28515625" customWidth="1"/>
    <col min="14368" max="14368" width="28.42578125" customWidth="1"/>
    <col min="14369" max="14369" width="17.42578125" customWidth="1"/>
    <col min="14370" max="14370" width="29.5703125" customWidth="1"/>
    <col min="14371" max="14595" width="8.7109375" customWidth="1"/>
    <col min="14596" max="14596" width="23" customWidth="1"/>
    <col min="14597" max="14597" width="50.42578125" customWidth="1"/>
    <col min="14598" max="14598" width="16.28515625" customWidth="1"/>
    <col min="14599" max="14599" width="8.5703125" customWidth="1"/>
    <col min="14600" max="14600" width="26.28515625" customWidth="1"/>
    <col min="14601" max="14601" width="23" customWidth="1"/>
    <col min="14602" max="14602" width="28.42578125" customWidth="1"/>
    <col min="14603" max="14603" width="17.42578125" customWidth="1"/>
    <col min="14604" max="14605" width="13" customWidth="1"/>
    <col min="14606" max="14606" width="24" customWidth="1"/>
    <col min="14607" max="14607" width="15.28515625" customWidth="1"/>
    <col min="14608" max="14608" width="12" customWidth="1"/>
    <col min="14609" max="14609" width="87.85546875" customWidth="1"/>
    <col min="14610" max="14610" width="73.5703125" customWidth="1"/>
    <col min="14611" max="14612" width="16.28515625" customWidth="1"/>
    <col min="14613" max="14613" width="19.5703125" customWidth="1"/>
    <col min="14614" max="14614" width="12" customWidth="1"/>
    <col min="14615" max="14615" width="9.7109375" customWidth="1"/>
    <col min="14616" max="14616" width="15.28515625" customWidth="1"/>
    <col min="14617" max="14617" width="13" customWidth="1"/>
    <col min="14618" max="14618" width="12" customWidth="1"/>
    <col min="14619" max="14619" width="17.42578125" customWidth="1"/>
    <col min="14620" max="14620" width="26.28515625" customWidth="1"/>
    <col min="14621" max="14621" width="39.42578125" customWidth="1"/>
    <col min="14622" max="14622" width="21.85546875" customWidth="1"/>
    <col min="14623" max="14623" width="16.28515625" customWidth="1"/>
    <col min="14624" max="14624" width="28.42578125" customWidth="1"/>
    <col min="14625" max="14625" width="17.42578125" customWidth="1"/>
    <col min="14626" max="14626" width="29.5703125" customWidth="1"/>
    <col min="14627" max="14851" width="8.7109375" customWidth="1"/>
    <col min="14852" max="14852" width="23" customWidth="1"/>
    <col min="14853" max="14853" width="50.42578125" customWidth="1"/>
    <col min="14854" max="14854" width="16.28515625" customWidth="1"/>
    <col min="14855" max="14855" width="8.5703125" customWidth="1"/>
    <col min="14856" max="14856" width="26.28515625" customWidth="1"/>
    <col min="14857" max="14857" width="23" customWidth="1"/>
    <col min="14858" max="14858" width="28.42578125" customWidth="1"/>
    <col min="14859" max="14859" width="17.42578125" customWidth="1"/>
    <col min="14860" max="14861" width="13" customWidth="1"/>
    <col min="14862" max="14862" width="24" customWidth="1"/>
    <col min="14863" max="14863" width="15.28515625" customWidth="1"/>
    <col min="14864" max="14864" width="12" customWidth="1"/>
    <col min="14865" max="14865" width="87.85546875" customWidth="1"/>
    <col min="14866" max="14866" width="73.5703125" customWidth="1"/>
    <col min="14867" max="14868" width="16.28515625" customWidth="1"/>
    <col min="14869" max="14869" width="19.5703125" customWidth="1"/>
    <col min="14870" max="14870" width="12" customWidth="1"/>
    <col min="14871" max="14871" width="9.7109375" customWidth="1"/>
    <col min="14872" max="14872" width="15.28515625" customWidth="1"/>
    <col min="14873" max="14873" width="13" customWidth="1"/>
    <col min="14874" max="14874" width="12" customWidth="1"/>
    <col min="14875" max="14875" width="17.42578125" customWidth="1"/>
    <col min="14876" max="14876" width="26.28515625" customWidth="1"/>
    <col min="14877" max="14877" width="39.42578125" customWidth="1"/>
    <col min="14878" max="14878" width="21.85546875" customWidth="1"/>
    <col min="14879" max="14879" width="16.28515625" customWidth="1"/>
    <col min="14880" max="14880" width="28.42578125" customWidth="1"/>
    <col min="14881" max="14881" width="17.42578125" customWidth="1"/>
    <col min="14882" max="14882" width="29.5703125" customWidth="1"/>
    <col min="14883" max="15107" width="8.7109375" customWidth="1"/>
    <col min="15108" max="15108" width="23" customWidth="1"/>
    <col min="15109" max="15109" width="50.42578125" customWidth="1"/>
    <col min="15110" max="15110" width="16.28515625" customWidth="1"/>
    <col min="15111" max="15111" width="8.5703125" customWidth="1"/>
    <col min="15112" max="15112" width="26.28515625" customWidth="1"/>
    <col min="15113" max="15113" width="23" customWidth="1"/>
    <col min="15114" max="15114" width="28.42578125" customWidth="1"/>
    <col min="15115" max="15115" width="17.42578125" customWidth="1"/>
    <col min="15116" max="15117" width="13" customWidth="1"/>
    <col min="15118" max="15118" width="24" customWidth="1"/>
    <col min="15119" max="15119" width="15.28515625" customWidth="1"/>
    <col min="15120" max="15120" width="12" customWidth="1"/>
    <col min="15121" max="15121" width="87.85546875" customWidth="1"/>
    <col min="15122" max="15122" width="73.5703125" customWidth="1"/>
    <col min="15123" max="15124" width="16.28515625" customWidth="1"/>
    <col min="15125" max="15125" width="19.5703125" customWidth="1"/>
    <col min="15126" max="15126" width="12" customWidth="1"/>
    <col min="15127" max="15127" width="9.7109375" customWidth="1"/>
    <col min="15128" max="15128" width="15.28515625" customWidth="1"/>
    <col min="15129" max="15129" width="13" customWidth="1"/>
    <col min="15130" max="15130" width="12" customWidth="1"/>
    <col min="15131" max="15131" width="17.42578125" customWidth="1"/>
    <col min="15132" max="15132" width="26.28515625" customWidth="1"/>
    <col min="15133" max="15133" width="39.42578125" customWidth="1"/>
    <col min="15134" max="15134" width="21.85546875" customWidth="1"/>
    <col min="15135" max="15135" width="16.28515625" customWidth="1"/>
    <col min="15136" max="15136" width="28.42578125" customWidth="1"/>
    <col min="15137" max="15137" width="17.42578125" customWidth="1"/>
    <col min="15138" max="15138" width="29.5703125" customWidth="1"/>
    <col min="15139" max="15363" width="8.7109375" customWidth="1"/>
    <col min="15364" max="15364" width="23" customWidth="1"/>
    <col min="15365" max="15365" width="50.42578125" customWidth="1"/>
    <col min="15366" max="15366" width="16.28515625" customWidth="1"/>
    <col min="15367" max="15367" width="8.5703125" customWidth="1"/>
    <col min="15368" max="15368" width="26.28515625" customWidth="1"/>
    <col min="15369" max="15369" width="23" customWidth="1"/>
    <col min="15370" max="15370" width="28.42578125" customWidth="1"/>
    <col min="15371" max="15371" width="17.42578125" customWidth="1"/>
    <col min="15372" max="15373" width="13" customWidth="1"/>
    <col min="15374" max="15374" width="24" customWidth="1"/>
    <col min="15375" max="15375" width="15.28515625" customWidth="1"/>
    <col min="15376" max="15376" width="12" customWidth="1"/>
    <col min="15377" max="15377" width="87.85546875" customWidth="1"/>
    <col min="15378" max="15378" width="73.5703125" customWidth="1"/>
    <col min="15379" max="15380" width="16.28515625" customWidth="1"/>
    <col min="15381" max="15381" width="19.5703125" customWidth="1"/>
    <col min="15382" max="15382" width="12" customWidth="1"/>
    <col min="15383" max="15383" width="9.7109375" customWidth="1"/>
    <col min="15384" max="15384" width="15.28515625" customWidth="1"/>
    <col min="15385" max="15385" width="13" customWidth="1"/>
    <col min="15386" max="15386" width="12" customWidth="1"/>
    <col min="15387" max="15387" width="17.42578125" customWidth="1"/>
    <col min="15388" max="15388" width="26.28515625" customWidth="1"/>
    <col min="15389" max="15389" width="39.42578125" customWidth="1"/>
    <col min="15390" max="15390" width="21.85546875" customWidth="1"/>
    <col min="15391" max="15391" width="16.28515625" customWidth="1"/>
    <col min="15392" max="15392" width="28.42578125" customWidth="1"/>
    <col min="15393" max="15393" width="17.42578125" customWidth="1"/>
    <col min="15394" max="15394" width="29.5703125" customWidth="1"/>
    <col min="15395" max="15619" width="8.7109375" customWidth="1"/>
    <col min="15620" max="15620" width="23" customWidth="1"/>
    <col min="15621" max="15621" width="50.42578125" customWidth="1"/>
    <col min="15622" max="15622" width="16.28515625" customWidth="1"/>
    <col min="15623" max="15623" width="8.5703125" customWidth="1"/>
    <col min="15624" max="15624" width="26.28515625" customWidth="1"/>
    <col min="15625" max="15625" width="23" customWidth="1"/>
    <col min="15626" max="15626" width="28.42578125" customWidth="1"/>
    <col min="15627" max="15627" width="17.42578125" customWidth="1"/>
    <col min="15628" max="15629" width="13" customWidth="1"/>
    <col min="15630" max="15630" width="24" customWidth="1"/>
    <col min="15631" max="15631" width="15.28515625" customWidth="1"/>
    <col min="15632" max="15632" width="12" customWidth="1"/>
    <col min="15633" max="15633" width="87.85546875" customWidth="1"/>
    <col min="15634" max="15634" width="73.5703125" customWidth="1"/>
    <col min="15635" max="15636" width="16.28515625" customWidth="1"/>
    <col min="15637" max="15637" width="19.5703125" customWidth="1"/>
    <col min="15638" max="15638" width="12" customWidth="1"/>
    <col min="15639" max="15639" width="9.7109375" customWidth="1"/>
    <col min="15640" max="15640" width="15.28515625" customWidth="1"/>
    <col min="15641" max="15641" width="13" customWidth="1"/>
    <col min="15642" max="15642" width="12" customWidth="1"/>
    <col min="15643" max="15643" width="17.42578125" customWidth="1"/>
    <col min="15644" max="15644" width="26.28515625" customWidth="1"/>
    <col min="15645" max="15645" width="39.42578125" customWidth="1"/>
    <col min="15646" max="15646" width="21.85546875" customWidth="1"/>
    <col min="15647" max="15647" width="16.28515625" customWidth="1"/>
    <col min="15648" max="15648" width="28.42578125" customWidth="1"/>
    <col min="15649" max="15649" width="17.42578125" customWidth="1"/>
    <col min="15650" max="15650" width="29.5703125" customWidth="1"/>
    <col min="15651" max="15875" width="8.7109375" customWidth="1"/>
    <col min="15876" max="15876" width="23" customWidth="1"/>
    <col min="15877" max="15877" width="50.42578125" customWidth="1"/>
    <col min="15878" max="15878" width="16.28515625" customWidth="1"/>
    <col min="15879" max="15879" width="8.5703125" customWidth="1"/>
    <col min="15880" max="15880" width="26.28515625" customWidth="1"/>
    <col min="15881" max="15881" width="23" customWidth="1"/>
    <col min="15882" max="15882" width="28.42578125" customWidth="1"/>
    <col min="15883" max="15883" width="17.42578125" customWidth="1"/>
    <col min="15884" max="15885" width="13" customWidth="1"/>
    <col min="15886" max="15886" width="24" customWidth="1"/>
    <col min="15887" max="15887" width="15.28515625" customWidth="1"/>
    <col min="15888" max="15888" width="12" customWidth="1"/>
    <col min="15889" max="15889" width="87.85546875" customWidth="1"/>
    <col min="15890" max="15890" width="73.5703125" customWidth="1"/>
    <col min="15891" max="15892" width="16.28515625" customWidth="1"/>
    <col min="15893" max="15893" width="19.5703125" customWidth="1"/>
    <col min="15894" max="15894" width="12" customWidth="1"/>
    <col min="15895" max="15895" width="9.7109375" customWidth="1"/>
    <col min="15896" max="15896" width="15.28515625" customWidth="1"/>
    <col min="15897" max="15897" width="13" customWidth="1"/>
    <col min="15898" max="15898" width="12" customWidth="1"/>
    <col min="15899" max="15899" width="17.42578125" customWidth="1"/>
    <col min="15900" max="15900" width="26.28515625" customWidth="1"/>
    <col min="15901" max="15901" width="39.42578125" customWidth="1"/>
    <col min="15902" max="15902" width="21.85546875" customWidth="1"/>
    <col min="15903" max="15903" width="16.28515625" customWidth="1"/>
    <col min="15904" max="15904" width="28.42578125" customWidth="1"/>
    <col min="15905" max="15905" width="17.42578125" customWidth="1"/>
    <col min="15906" max="15906" width="29.5703125" customWidth="1"/>
    <col min="15907" max="16131" width="8.7109375" customWidth="1"/>
    <col min="16132" max="16132" width="23" customWidth="1"/>
    <col min="16133" max="16133" width="50.42578125" customWidth="1"/>
    <col min="16134" max="16134" width="16.28515625" customWidth="1"/>
    <col min="16135" max="16135" width="8.5703125" customWidth="1"/>
    <col min="16136" max="16136" width="26.28515625" customWidth="1"/>
    <col min="16137" max="16137" width="23" customWidth="1"/>
    <col min="16138" max="16138" width="28.42578125" customWidth="1"/>
    <col min="16139" max="16139" width="17.42578125" customWidth="1"/>
    <col min="16140" max="16141" width="13" customWidth="1"/>
    <col min="16142" max="16142" width="24" customWidth="1"/>
    <col min="16143" max="16143" width="15.28515625" customWidth="1"/>
    <col min="16144" max="16144" width="12" customWidth="1"/>
    <col min="16145" max="16145" width="87.85546875" customWidth="1"/>
    <col min="16146" max="16146" width="73.5703125" customWidth="1"/>
    <col min="16147" max="16148" width="16.28515625" customWidth="1"/>
    <col min="16149" max="16149" width="19.5703125" customWidth="1"/>
    <col min="16150" max="16150" width="12" customWidth="1"/>
    <col min="16151" max="16151" width="9.7109375" customWidth="1"/>
    <col min="16152" max="16152" width="15.28515625" customWidth="1"/>
    <col min="16153" max="16153" width="13" customWidth="1"/>
    <col min="16154" max="16154" width="12" customWidth="1"/>
    <col min="16155" max="16155" width="17.42578125" customWidth="1"/>
    <col min="16156" max="16156" width="26.28515625" customWidth="1"/>
    <col min="16157" max="16157" width="39.42578125" customWidth="1"/>
    <col min="16158" max="16158" width="21.85546875" customWidth="1"/>
    <col min="16159" max="16159" width="16.28515625" customWidth="1"/>
    <col min="16160" max="16160" width="28.42578125" customWidth="1"/>
    <col min="16161" max="16161" width="17.42578125" customWidth="1"/>
    <col min="16162" max="16162" width="29.5703125" customWidth="1"/>
    <col min="16163" max="16384" width="8.7109375" customWidth="1"/>
  </cols>
  <sheetData>
    <row r="1" spans="1:38" ht="27.75">
      <c r="A1" s="216" t="s">
        <v>1154</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6"/>
      <c r="AF1" s="216"/>
      <c r="AG1" s="90"/>
    </row>
    <row r="2" spans="1:38">
      <c r="AB2" s="217" t="s">
        <v>1155</v>
      </c>
      <c r="AC2" s="217"/>
      <c r="AD2" s="217"/>
      <c r="AE2" s="217"/>
      <c r="AF2" s="217"/>
      <c r="AG2" s="91"/>
    </row>
    <row r="3" spans="1:38" ht="39" customHeight="1">
      <c r="A3" s="49" t="s">
        <v>15</v>
      </c>
      <c r="B3" s="49" t="s">
        <v>1156</v>
      </c>
      <c r="C3" s="49" t="s">
        <v>1157</v>
      </c>
      <c r="D3" s="49" t="s">
        <v>1158</v>
      </c>
      <c r="E3" s="49" t="s">
        <v>1159</v>
      </c>
      <c r="F3" s="49" t="s">
        <v>1160</v>
      </c>
      <c r="G3" s="49" t="s">
        <v>1161</v>
      </c>
      <c r="H3" s="49" t="s">
        <v>1162</v>
      </c>
      <c r="I3" s="48" t="s">
        <v>0</v>
      </c>
      <c r="J3" s="48" t="s">
        <v>17</v>
      </c>
      <c r="K3" s="48" t="s">
        <v>18</v>
      </c>
      <c r="L3" s="48" t="s">
        <v>19</v>
      </c>
      <c r="M3" s="49" t="s">
        <v>1163</v>
      </c>
      <c r="N3" s="49" t="s">
        <v>21</v>
      </c>
      <c r="O3" s="49" t="s">
        <v>22</v>
      </c>
      <c r="P3" s="49" t="s">
        <v>23</v>
      </c>
      <c r="Q3" s="49" t="s">
        <v>1164</v>
      </c>
      <c r="R3" s="49" t="s">
        <v>24</v>
      </c>
      <c r="S3" s="49" t="s">
        <v>25</v>
      </c>
      <c r="T3" s="49" t="s">
        <v>26</v>
      </c>
      <c r="U3" s="94" t="s">
        <v>1165</v>
      </c>
      <c r="V3" s="94" t="s">
        <v>1166</v>
      </c>
      <c r="W3" s="49" t="s">
        <v>1167</v>
      </c>
      <c r="X3" s="49" t="s">
        <v>1168</v>
      </c>
      <c r="Y3" s="49" t="s">
        <v>1169</v>
      </c>
      <c r="Z3" s="49" t="s">
        <v>1170</v>
      </c>
      <c r="AA3" s="49" t="s">
        <v>1171</v>
      </c>
      <c r="AB3" s="48" t="s">
        <v>1172</v>
      </c>
      <c r="AC3" s="48" t="s">
        <v>1173</v>
      </c>
      <c r="AD3" s="48" t="s">
        <v>1174</v>
      </c>
      <c r="AE3" s="48" t="s">
        <v>1175</v>
      </c>
      <c r="AF3" s="48" t="s">
        <v>1176</v>
      </c>
      <c r="AG3" s="3" t="s">
        <v>524</v>
      </c>
      <c r="AH3" s="3" t="s">
        <v>30</v>
      </c>
      <c r="AI3" s="2" t="s">
        <v>31</v>
      </c>
      <c r="AJ3" s="2" t="s">
        <v>32</v>
      </c>
      <c r="AK3" s="3" t="s">
        <v>1177</v>
      </c>
      <c r="AL3" s="155" t="s">
        <v>34</v>
      </c>
    </row>
    <row r="4" spans="1:38">
      <c r="A4" s="50" t="s">
        <v>14</v>
      </c>
      <c r="B4" s="50" t="s">
        <v>1178</v>
      </c>
      <c r="C4" s="50" t="s">
        <v>1179</v>
      </c>
      <c r="D4" s="50" t="s">
        <v>1180</v>
      </c>
      <c r="E4" s="50" t="s">
        <v>1181</v>
      </c>
      <c r="F4" s="50">
        <v>1044365</v>
      </c>
      <c r="G4" s="50" t="s">
        <v>1182</v>
      </c>
      <c r="H4" s="50" t="s">
        <v>14</v>
      </c>
      <c r="I4" s="50" t="s">
        <v>36</v>
      </c>
      <c r="J4" s="50" t="s">
        <v>36</v>
      </c>
      <c r="K4" s="50" t="s">
        <v>1183</v>
      </c>
      <c r="L4" s="50" t="s">
        <v>1184</v>
      </c>
      <c r="M4" s="50" t="s">
        <v>1185</v>
      </c>
      <c r="N4" s="205" t="s">
        <v>1186</v>
      </c>
      <c r="O4" s="50" t="s">
        <v>1186</v>
      </c>
      <c r="P4" s="50" t="s">
        <v>1187</v>
      </c>
      <c r="Q4" s="50"/>
      <c r="R4" s="50" t="s">
        <v>41</v>
      </c>
      <c r="S4" s="50" t="s">
        <v>1188</v>
      </c>
      <c r="T4" s="50">
        <v>90018116</v>
      </c>
      <c r="U4" s="50"/>
      <c r="V4" s="50"/>
      <c r="W4" s="50" t="s">
        <v>1189</v>
      </c>
      <c r="X4" s="50" t="s">
        <v>1190</v>
      </c>
      <c r="Y4" s="50"/>
      <c r="Z4" s="50">
        <v>3</v>
      </c>
      <c r="AA4" s="50">
        <v>3</v>
      </c>
      <c r="AB4" s="50"/>
      <c r="AC4" s="50"/>
      <c r="AD4" s="50"/>
      <c r="AE4" s="50"/>
      <c r="AF4" s="93"/>
      <c r="AG4" s="205" t="s">
        <v>45</v>
      </c>
      <c r="AH4" s="210" t="s">
        <v>1191</v>
      </c>
      <c r="AI4" s="77">
        <v>46378</v>
      </c>
      <c r="AJ4" s="77">
        <v>46382</v>
      </c>
      <c r="AK4" s="76" t="s">
        <v>1192</v>
      </c>
      <c r="AL4" s="76" t="s">
        <v>262</v>
      </c>
    </row>
    <row r="5" spans="1:38">
      <c r="A5" s="50" t="s">
        <v>14</v>
      </c>
      <c r="B5" s="50" t="s">
        <v>1178</v>
      </c>
      <c r="C5" s="50" t="s">
        <v>1179</v>
      </c>
      <c r="D5" s="50" t="s">
        <v>1180</v>
      </c>
      <c r="E5" s="50" t="s">
        <v>1181</v>
      </c>
      <c r="F5" s="50">
        <v>1044365</v>
      </c>
      <c r="G5" s="50" t="s">
        <v>1182</v>
      </c>
      <c r="H5" s="50" t="s">
        <v>14</v>
      </c>
      <c r="I5" s="50" t="s">
        <v>36</v>
      </c>
      <c r="J5" s="50" t="s">
        <v>36</v>
      </c>
      <c r="K5" s="50" t="s">
        <v>1183</v>
      </c>
      <c r="L5" s="50" t="s">
        <v>1184</v>
      </c>
      <c r="M5" s="50" t="s">
        <v>1193</v>
      </c>
      <c r="N5" s="206" t="s">
        <v>1194</v>
      </c>
      <c r="O5" s="50" t="s">
        <v>1194</v>
      </c>
      <c r="P5" s="50" t="s">
        <v>1195</v>
      </c>
      <c r="Q5" s="50"/>
      <c r="R5" s="50" t="s">
        <v>41</v>
      </c>
      <c r="S5" s="50" t="s">
        <v>1188</v>
      </c>
      <c r="T5" s="50">
        <v>90018116</v>
      </c>
      <c r="U5" s="50"/>
      <c r="V5" s="50"/>
      <c r="W5" s="50" t="s">
        <v>1189</v>
      </c>
      <c r="X5" s="50" t="s">
        <v>1190</v>
      </c>
      <c r="Y5" s="50"/>
      <c r="Z5" s="50">
        <v>3</v>
      </c>
      <c r="AA5" s="50">
        <v>3</v>
      </c>
      <c r="AB5" s="50"/>
      <c r="AC5" s="50"/>
      <c r="AD5" s="50"/>
      <c r="AE5" s="50"/>
      <c r="AF5" s="50"/>
      <c r="AG5" s="207" t="s">
        <v>45</v>
      </c>
      <c r="AH5" s="213" t="s">
        <v>1191</v>
      </c>
      <c r="AI5" s="82">
        <v>46371</v>
      </c>
      <c r="AJ5" s="82">
        <v>46382</v>
      </c>
      <c r="AK5" s="81" t="s">
        <v>262</v>
      </c>
      <c r="AL5" s="81" t="s">
        <v>49</v>
      </c>
    </row>
    <row r="6" spans="1:38">
      <c r="A6" s="50" t="s">
        <v>14</v>
      </c>
      <c r="B6" s="50" t="s">
        <v>1178</v>
      </c>
      <c r="C6" s="50" t="s">
        <v>1179</v>
      </c>
      <c r="D6" s="50" t="s">
        <v>1180</v>
      </c>
      <c r="E6" s="50" t="s">
        <v>1181</v>
      </c>
      <c r="F6" s="50">
        <v>1044365</v>
      </c>
      <c r="G6" s="50" t="s">
        <v>1182</v>
      </c>
      <c r="H6" s="50" t="s">
        <v>14</v>
      </c>
      <c r="I6" s="50" t="s">
        <v>36</v>
      </c>
      <c r="J6" s="50" t="s">
        <v>36</v>
      </c>
      <c r="K6" s="50" t="s">
        <v>1183</v>
      </c>
      <c r="L6" s="50" t="s">
        <v>1184</v>
      </c>
      <c r="M6" s="50" t="s">
        <v>1196</v>
      </c>
      <c r="N6" s="207" t="s">
        <v>1197</v>
      </c>
      <c r="O6" s="50" t="s">
        <v>1197</v>
      </c>
      <c r="P6" s="50" t="s">
        <v>1195</v>
      </c>
      <c r="Q6" s="50"/>
      <c r="R6" s="50" t="s">
        <v>41</v>
      </c>
      <c r="S6" s="50" t="s">
        <v>1188</v>
      </c>
      <c r="T6" s="50">
        <v>90018116</v>
      </c>
      <c r="U6" s="50"/>
      <c r="V6" s="50"/>
      <c r="W6" s="50" t="s">
        <v>1189</v>
      </c>
      <c r="X6" s="50" t="s">
        <v>1190</v>
      </c>
      <c r="Y6" s="50"/>
      <c r="Z6" s="50">
        <v>3</v>
      </c>
      <c r="AA6" s="50">
        <v>3</v>
      </c>
      <c r="AB6" s="50"/>
      <c r="AC6" s="50"/>
      <c r="AD6" s="50"/>
      <c r="AE6" s="50"/>
      <c r="AF6" s="50"/>
      <c r="AG6" s="207" t="s">
        <v>45</v>
      </c>
      <c r="AH6" s="213" t="s">
        <v>1191</v>
      </c>
      <c r="AI6" s="82">
        <v>46378</v>
      </c>
      <c r="AJ6" s="82">
        <v>46382</v>
      </c>
      <c r="AK6" s="81" t="s">
        <v>1192</v>
      </c>
      <c r="AL6" s="81" t="s">
        <v>262</v>
      </c>
    </row>
    <row r="7" spans="1:38">
      <c r="A7" s="205" t="s">
        <v>14</v>
      </c>
      <c r="B7" s="208" t="s">
        <v>1178</v>
      </c>
      <c r="C7" s="208" t="s">
        <v>1179</v>
      </c>
      <c r="D7" s="208" t="s">
        <v>1180</v>
      </c>
      <c r="E7" s="208" t="s">
        <v>1181</v>
      </c>
      <c r="F7" s="208">
        <v>1044365</v>
      </c>
      <c r="G7" s="208" t="s">
        <v>1182</v>
      </c>
      <c r="H7" s="208" t="s">
        <v>14</v>
      </c>
      <c r="I7" s="208" t="s">
        <v>36</v>
      </c>
      <c r="J7" s="208" t="s">
        <v>36</v>
      </c>
      <c r="K7" s="208" t="s">
        <v>1183</v>
      </c>
      <c r="L7" s="208" t="s">
        <v>1184</v>
      </c>
      <c r="M7" s="208" t="s">
        <v>1196</v>
      </c>
      <c r="N7" s="208" t="s">
        <v>1197</v>
      </c>
      <c r="O7" s="208" t="s">
        <v>1197</v>
      </c>
      <c r="P7" s="209" t="s">
        <v>1198</v>
      </c>
      <c r="Q7" s="208" t="s">
        <v>262</v>
      </c>
      <c r="R7" s="208" t="s">
        <v>262</v>
      </c>
      <c r="S7" s="208" t="s">
        <v>1189</v>
      </c>
      <c r="T7" s="208" t="s">
        <v>1190</v>
      </c>
      <c r="U7" s="208" t="s">
        <v>262</v>
      </c>
      <c r="V7" s="208"/>
      <c r="W7" s="50" t="s">
        <v>1189</v>
      </c>
      <c r="X7" s="208" t="s">
        <v>262</v>
      </c>
      <c r="Y7" s="208" t="s">
        <v>262</v>
      </c>
      <c r="Z7" s="208" t="s">
        <v>262</v>
      </c>
      <c r="AA7" s="208" t="s">
        <v>262</v>
      </c>
      <c r="AB7" s="208" t="s">
        <v>262</v>
      </c>
      <c r="AC7" s="208"/>
      <c r="AD7" s="210"/>
      <c r="AE7" s="77"/>
      <c r="AF7" s="77"/>
      <c r="AG7" s="207" t="s">
        <v>45</v>
      </c>
      <c r="AH7" s="213" t="s">
        <v>1191</v>
      </c>
      <c r="AI7" s="82">
        <v>46378</v>
      </c>
      <c r="AJ7" s="82">
        <v>46382</v>
      </c>
      <c r="AK7" s="81" t="s">
        <v>1192</v>
      </c>
      <c r="AL7" s="81" t="s">
        <v>262</v>
      </c>
    </row>
    <row r="8" spans="1:38">
      <c r="A8" s="207" t="s">
        <v>14</v>
      </c>
      <c r="B8" s="211" t="s">
        <v>1178</v>
      </c>
      <c r="C8" s="211" t="s">
        <v>1179</v>
      </c>
      <c r="D8" s="211" t="s">
        <v>1180</v>
      </c>
      <c r="E8" s="211" t="s">
        <v>1181</v>
      </c>
      <c r="F8" s="211">
        <v>1044365</v>
      </c>
      <c r="G8" s="211" t="s">
        <v>1182</v>
      </c>
      <c r="H8" s="211" t="s">
        <v>14</v>
      </c>
      <c r="I8" s="211" t="s">
        <v>36</v>
      </c>
      <c r="J8" s="211" t="s">
        <v>36</v>
      </c>
      <c r="K8" s="211" t="s">
        <v>1183</v>
      </c>
      <c r="L8" s="211" t="s">
        <v>1184</v>
      </c>
      <c r="M8" s="211" t="s">
        <v>1196</v>
      </c>
      <c r="N8" s="211" t="s">
        <v>1197</v>
      </c>
      <c r="O8" s="211" t="s">
        <v>1197</v>
      </c>
      <c r="P8" s="212" t="s">
        <v>1199</v>
      </c>
      <c r="Q8" s="211" t="s">
        <v>262</v>
      </c>
      <c r="R8" s="211" t="s">
        <v>262</v>
      </c>
      <c r="S8" s="211" t="s">
        <v>1189</v>
      </c>
      <c r="T8" s="211" t="s">
        <v>1190</v>
      </c>
      <c r="U8" s="211" t="s">
        <v>262</v>
      </c>
      <c r="V8" s="211"/>
      <c r="W8" s="50" t="s">
        <v>1189</v>
      </c>
      <c r="X8" s="211" t="s">
        <v>262</v>
      </c>
      <c r="Y8" s="211" t="s">
        <v>262</v>
      </c>
      <c r="Z8" s="211" t="s">
        <v>262</v>
      </c>
      <c r="AA8" s="211" t="s">
        <v>262</v>
      </c>
      <c r="AB8" s="211" t="s">
        <v>262</v>
      </c>
      <c r="AC8" s="211"/>
      <c r="AD8" s="213"/>
      <c r="AE8" s="82"/>
      <c r="AF8" s="82"/>
      <c r="AG8" s="207" t="s">
        <v>45</v>
      </c>
      <c r="AH8" s="213" t="s">
        <v>1191</v>
      </c>
      <c r="AI8" s="82">
        <v>46378</v>
      </c>
      <c r="AJ8" s="82">
        <v>46382</v>
      </c>
      <c r="AK8" s="81" t="s">
        <v>1192</v>
      </c>
      <c r="AL8" s="81" t="s">
        <v>262</v>
      </c>
    </row>
    <row r="9" spans="1:38">
      <c r="A9" s="50" t="s">
        <v>14</v>
      </c>
      <c r="B9" s="50" t="s">
        <v>1178</v>
      </c>
      <c r="C9" s="50" t="s">
        <v>1179</v>
      </c>
      <c r="D9" s="50" t="s">
        <v>1180</v>
      </c>
      <c r="E9" s="50" t="s">
        <v>1181</v>
      </c>
      <c r="F9" s="50">
        <v>1044365</v>
      </c>
      <c r="G9" s="50" t="s">
        <v>1182</v>
      </c>
      <c r="H9" s="50" t="s">
        <v>14</v>
      </c>
      <c r="I9" s="50" t="s">
        <v>36</v>
      </c>
      <c r="J9" s="50" t="s">
        <v>36</v>
      </c>
      <c r="K9" s="50" t="s">
        <v>1183</v>
      </c>
      <c r="L9" s="50" t="s">
        <v>1184</v>
      </c>
      <c r="M9" s="50" t="s">
        <v>1200</v>
      </c>
      <c r="N9" s="206" t="s">
        <v>1201</v>
      </c>
      <c r="O9" s="50" t="s">
        <v>1201</v>
      </c>
      <c r="P9" s="50" t="s">
        <v>1195</v>
      </c>
      <c r="Q9" s="50"/>
      <c r="R9" s="50" t="s">
        <v>41</v>
      </c>
      <c r="S9" s="50" t="s">
        <v>1188</v>
      </c>
      <c r="T9" s="50">
        <v>90018116</v>
      </c>
      <c r="U9" s="50"/>
      <c r="V9" s="50"/>
      <c r="W9" s="50" t="s">
        <v>1189</v>
      </c>
      <c r="X9" s="50" t="s">
        <v>1190</v>
      </c>
      <c r="Y9" s="50"/>
      <c r="Z9" s="50">
        <v>3</v>
      </c>
      <c r="AA9" s="50">
        <v>3</v>
      </c>
      <c r="AB9" s="50"/>
      <c r="AC9" s="50"/>
      <c r="AD9" s="50"/>
      <c r="AE9" s="50"/>
      <c r="AF9" s="50"/>
      <c r="AG9" s="207" t="s">
        <v>45</v>
      </c>
      <c r="AH9" s="213" t="s">
        <v>1191</v>
      </c>
      <c r="AI9" s="82">
        <v>46371</v>
      </c>
      <c r="AJ9" s="82">
        <v>46382</v>
      </c>
      <c r="AK9" s="81" t="s">
        <v>262</v>
      </c>
      <c r="AL9" s="81" t="s">
        <v>49</v>
      </c>
    </row>
    <row r="10" spans="1:38">
      <c r="A10" s="50" t="s">
        <v>14</v>
      </c>
      <c r="B10" s="50" t="s">
        <v>1178</v>
      </c>
      <c r="C10" s="50" t="s">
        <v>1179</v>
      </c>
      <c r="D10" s="50" t="s">
        <v>1180</v>
      </c>
      <c r="E10" s="50" t="s">
        <v>1181</v>
      </c>
      <c r="F10" s="50">
        <v>1044365</v>
      </c>
      <c r="G10" s="50" t="s">
        <v>1182</v>
      </c>
      <c r="H10" s="50" t="s">
        <v>14</v>
      </c>
      <c r="I10" s="50" t="s">
        <v>36</v>
      </c>
      <c r="J10" s="50" t="s">
        <v>36</v>
      </c>
      <c r="K10" s="50" t="s">
        <v>1183</v>
      </c>
      <c r="L10" s="50" t="s">
        <v>1184</v>
      </c>
      <c r="M10" s="50" t="s">
        <v>1202</v>
      </c>
      <c r="N10" s="206" t="s">
        <v>1203</v>
      </c>
      <c r="O10" s="50" t="s">
        <v>1201</v>
      </c>
      <c r="P10" s="50" t="s">
        <v>1195</v>
      </c>
      <c r="Q10" s="50"/>
      <c r="R10" s="50" t="s">
        <v>41</v>
      </c>
      <c r="S10" s="50" t="s">
        <v>1188</v>
      </c>
      <c r="T10" s="50">
        <v>90018116</v>
      </c>
      <c r="U10" s="50"/>
      <c r="V10" s="50"/>
      <c r="W10" s="50" t="s">
        <v>1189</v>
      </c>
      <c r="X10" s="50" t="s">
        <v>1190</v>
      </c>
      <c r="Y10" s="50"/>
      <c r="Z10" s="50">
        <v>3</v>
      </c>
      <c r="AA10" s="50">
        <v>3</v>
      </c>
      <c r="AB10" s="50"/>
      <c r="AC10" s="50"/>
      <c r="AD10" s="50"/>
      <c r="AE10" s="50"/>
      <c r="AF10" s="50"/>
      <c r="AG10" s="207" t="s">
        <v>45</v>
      </c>
      <c r="AH10" s="213" t="s">
        <v>1191</v>
      </c>
      <c r="AI10" s="82">
        <v>46378</v>
      </c>
      <c r="AJ10" s="82">
        <v>46382</v>
      </c>
      <c r="AK10" s="81" t="s">
        <v>262</v>
      </c>
      <c r="AL10" s="81" t="s">
        <v>49</v>
      </c>
    </row>
    <row r="11" spans="1:38">
      <c r="A11" s="50" t="s">
        <v>14</v>
      </c>
      <c r="B11" s="50" t="s">
        <v>1178</v>
      </c>
      <c r="C11" s="50" t="s">
        <v>1179</v>
      </c>
      <c r="D11" s="50" t="s">
        <v>1180</v>
      </c>
      <c r="E11" s="50" t="s">
        <v>1181</v>
      </c>
      <c r="F11" s="50">
        <v>1044365</v>
      </c>
      <c r="G11" s="50" t="s">
        <v>1182</v>
      </c>
      <c r="H11" s="50" t="s">
        <v>14</v>
      </c>
      <c r="I11" s="50" t="s">
        <v>36</v>
      </c>
      <c r="J11" s="50" t="s">
        <v>36</v>
      </c>
      <c r="K11" s="50" t="s">
        <v>1183</v>
      </c>
      <c r="L11" s="50" t="s">
        <v>1184</v>
      </c>
      <c r="M11" s="50" t="s">
        <v>1204</v>
      </c>
      <c r="N11" s="206" t="s">
        <v>1205</v>
      </c>
      <c r="O11" s="50" t="s">
        <v>1205</v>
      </c>
      <c r="P11" s="50" t="s">
        <v>1195</v>
      </c>
      <c r="Q11" s="50"/>
      <c r="R11" s="50" t="s">
        <v>41</v>
      </c>
      <c r="S11" s="50" t="s">
        <v>1188</v>
      </c>
      <c r="T11" s="50">
        <v>90018116</v>
      </c>
      <c r="U11" s="50"/>
      <c r="V11" s="50"/>
      <c r="W11" s="50" t="s">
        <v>1189</v>
      </c>
      <c r="X11" s="50" t="s">
        <v>1190</v>
      </c>
      <c r="Y11" s="50"/>
      <c r="Z11" s="50">
        <v>3</v>
      </c>
      <c r="AA11" s="50">
        <v>3</v>
      </c>
      <c r="AB11" s="50"/>
      <c r="AC11" s="50"/>
      <c r="AD11" s="50"/>
      <c r="AE11" s="50"/>
      <c r="AF11" s="50"/>
      <c r="AG11" s="207" t="s">
        <v>45</v>
      </c>
      <c r="AH11" s="213" t="s">
        <v>1191</v>
      </c>
      <c r="AI11" s="82">
        <v>46378</v>
      </c>
      <c r="AJ11" s="82">
        <v>46382</v>
      </c>
      <c r="AK11" s="81" t="s">
        <v>262</v>
      </c>
      <c r="AL11" s="81" t="s">
        <v>49</v>
      </c>
    </row>
    <row r="12" spans="1:38">
      <c r="A12" s="50" t="s">
        <v>14</v>
      </c>
      <c r="B12" s="50" t="s">
        <v>1178</v>
      </c>
      <c r="C12" s="50" t="s">
        <v>1179</v>
      </c>
      <c r="D12" s="50" t="s">
        <v>1180</v>
      </c>
      <c r="E12" s="50" t="s">
        <v>1181</v>
      </c>
      <c r="F12" s="50">
        <v>1044365</v>
      </c>
      <c r="G12" s="50" t="s">
        <v>1182</v>
      </c>
      <c r="H12" s="50" t="s">
        <v>14</v>
      </c>
      <c r="I12" s="50" t="s">
        <v>36</v>
      </c>
      <c r="J12" s="50" t="s">
        <v>36</v>
      </c>
      <c r="K12" s="50" t="s">
        <v>1183</v>
      </c>
      <c r="L12" s="50" t="s">
        <v>1184</v>
      </c>
      <c r="M12" s="50" t="s">
        <v>1206</v>
      </c>
      <c r="N12" s="206" t="s">
        <v>1207</v>
      </c>
      <c r="O12" s="50" t="s">
        <v>1208</v>
      </c>
      <c r="P12" s="50" t="s">
        <v>1195</v>
      </c>
      <c r="Q12" s="50"/>
      <c r="R12" s="50" t="s">
        <v>41</v>
      </c>
      <c r="S12" s="50" t="s">
        <v>1188</v>
      </c>
      <c r="T12" s="50">
        <v>90018116</v>
      </c>
      <c r="U12" s="50"/>
      <c r="V12" s="50"/>
      <c r="W12" s="50" t="s">
        <v>1189</v>
      </c>
      <c r="X12" s="50" t="s">
        <v>1190</v>
      </c>
      <c r="Y12" s="50"/>
      <c r="Z12" s="50">
        <v>3</v>
      </c>
      <c r="AA12" s="50">
        <v>3</v>
      </c>
      <c r="AB12" s="50"/>
      <c r="AC12" s="50"/>
      <c r="AD12" s="50"/>
      <c r="AE12" s="50"/>
      <c r="AF12" s="50"/>
      <c r="AG12" s="207" t="s">
        <v>45</v>
      </c>
      <c r="AH12" s="213" t="s">
        <v>1191</v>
      </c>
      <c r="AI12" s="82">
        <v>46371</v>
      </c>
      <c r="AJ12" s="82">
        <v>46382</v>
      </c>
      <c r="AK12" s="81" t="s">
        <v>262</v>
      </c>
      <c r="AL12" s="81" t="s">
        <v>49</v>
      </c>
    </row>
    <row r="13" spans="1:38" ht="125.25" customHeight="1">
      <c r="A13" s="50" t="s">
        <v>14</v>
      </c>
      <c r="B13" s="50" t="s">
        <v>1178</v>
      </c>
      <c r="C13" s="50" t="s">
        <v>1179</v>
      </c>
      <c r="D13" s="50" t="s">
        <v>1180</v>
      </c>
      <c r="E13" s="50" t="s">
        <v>1181</v>
      </c>
      <c r="F13" s="50">
        <v>1044365</v>
      </c>
      <c r="G13" s="50" t="s">
        <v>1182</v>
      </c>
      <c r="H13" s="50" t="s">
        <v>14</v>
      </c>
      <c r="I13" s="50" t="s">
        <v>36</v>
      </c>
      <c r="J13" s="50" t="s">
        <v>36</v>
      </c>
      <c r="K13" s="50" t="s">
        <v>1183</v>
      </c>
      <c r="L13" s="50" t="s">
        <v>1184</v>
      </c>
      <c r="M13" s="50" t="s">
        <v>1209</v>
      </c>
      <c r="N13" s="50" t="s">
        <v>1210</v>
      </c>
      <c r="O13" s="50" t="s">
        <v>1211</v>
      </c>
      <c r="P13" s="220" t="s">
        <v>1212</v>
      </c>
      <c r="Q13" s="50"/>
      <c r="R13" s="50" t="s">
        <v>41</v>
      </c>
      <c r="S13" s="50" t="s">
        <v>1188</v>
      </c>
      <c r="T13" s="50">
        <v>90018116</v>
      </c>
      <c r="U13" s="95" t="s">
        <v>1213</v>
      </c>
      <c r="V13" s="95" t="s">
        <v>1214</v>
      </c>
      <c r="W13" s="50" t="s">
        <v>1189</v>
      </c>
      <c r="X13" s="50" t="s">
        <v>1190</v>
      </c>
      <c r="Y13" s="50"/>
      <c r="Z13" s="50">
        <v>3</v>
      </c>
      <c r="AA13" s="50">
        <v>3</v>
      </c>
      <c r="AB13" s="50"/>
      <c r="AC13" s="50"/>
      <c r="AD13" s="50"/>
      <c r="AE13" s="50"/>
      <c r="AF13" s="50"/>
      <c r="AG13" s="92" t="s">
        <v>45</v>
      </c>
      <c r="AH13" s="98" t="s">
        <v>1191</v>
      </c>
      <c r="AI13" s="47">
        <v>46006</v>
      </c>
      <c r="AJ13" s="47">
        <v>46017</v>
      </c>
      <c r="AK13" s="47">
        <v>46008</v>
      </c>
      <c r="AL13" s="156" t="s">
        <v>3</v>
      </c>
    </row>
    <row r="14" spans="1:38" ht="122.25" customHeight="1">
      <c r="A14" s="205" t="s">
        <v>14</v>
      </c>
      <c r="B14" s="208" t="s">
        <v>1178</v>
      </c>
      <c r="C14" s="208" t="s">
        <v>1179</v>
      </c>
      <c r="D14" s="208" t="s">
        <v>1180</v>
      </c>
      <c r="E14" s="208" t="s">
        <v>1181</v>
      </c>
      <c r="F14" s="208">
        <v>1044365</v>
      </c>
      <c r="G14" s="208" t="s">
        <v>1182</v>
      </c>
      <c r="H14" s="208" t="s">
        <v>14</v>
      </c>
      <c r="I14" s="208" t="s">
        <v>36</v>
      </c>
      <c r="J14" s="208" t="s">
        <v>36</v>
      </c>
      <c r="K14" s="208" t="s">
        <v>1183</v>
      </c>
      <c r="L14" s="208" t="s">
        <v>1184</v>
      </c>
      <c r="M14" s="208" t="s">
        <v>1209</v>
      </c>
      <c r="N14" s="208" t="s">
        <v>1210</v>
      </c>
      <c r="O14" s="97" t="s">
        <v>1215</v>
      </c>
      <c r="P14" s="221" t="s">
        <v>1198</v>
      </c>
      <c r="Q14" s="208" t="s">
        <v>262</v>
      </c>
      <c r="R14" s="208" t="s">
        <v>262</v>
      </c>
      <c r="S14" s="208" t="s">
        <v>1189</v>
      </c>
      <c r="T14" s="208" t="s">
        <v>1190</v>
      </c>
      <c r="U14" s="218" t="s">
        <v>1216</v>
      </c>
      <c r="V14" s="208"/>
      <c r="W14" s="50" t="s">
        <v>1189</v>
      </c>
      <c r="X14" s="208" t="s">
        <v>262</v>
      </c>
      <c r="Y14" s="208" t="s">
        <v>262</v>
      </c>
      <c r="Z14" s="208" t="s">
        <v>262</v>
      </c>
      <c r="AA14" s="208" t="s">
        <v>262</v>
      </c>
      <c r="AB14" s="208" t="s">
        <v>262</v>
      </c>
      <c r="AC14" s="208"/>
      <c r="AD14" s="210"/>
      <c r="AE14" s="77"/>
      <c r="AF14" s="77"/>
      <c r="AG14" s="92" t="s">
        <v>45</v>
      </c>
      <c r="AH14" s="98" t="s">
        <v>1191</v>
      </c>
      <c r="AI14" s="47">
        <v>46006</v>
      </c>
      <c r="AJ14" s="47">
        <v>46017</v>
      </c>
      <c r="AK14" s="47">
        <v>46385</v>
      </c>
      <c r="AL14" s="156"/>
    </row>
    <row r="15" spans="1:38" ht="43.5">
      <c r="A15" s="207" t="s">
        <v>14</v>
      </c>
      <c r="B15" s="211" t="s">
        <v>1178</v>
      </c>
      <c r="C15" s="211" t="s">
        <v>1179</v>
      </c>
      <c r="D15" s="211" t="s">
        <v>1180</v>
      </c>
      <c r="E15" s="211" t="s">
        <v>1181</v>
      </c>
      <c r="F15" s="211">
        <v>1044365</v>
      </c>
      <c r="G15" s="211" t="s">
        <v>1182</v>
      </c>
      <c r="H15" s="211" t="s">
        <v>14</v>
      </c>
      <c r="I15" s="211" t="s">
        <v>36</v>
      </c>
      <c r="J15" s="211" t="s">
        <v>36</v>
      </c>
      <c r="K15" s="211" t="s">
        <v>1183</v>
      </c>
      <c r="L15" s="211" t="s">
        <v>1184</v>
      </c>
      <c r="M15" s="211" t="s">
        <v>1209</v>
      </c>
      <c r="N15" s="211" t="s">
        <v>1210</v>
      </c>
      <c r="O15" s="219" t="s">
        <v>1215</v>
      </c>
      <c r="P15" s="221" t="s">
        <v>1199</v>
      </c>
      <c r="Q15" s="211" t="s">
        <v>262</v>
      </c>
      <c r="R15" s="211" t="s">
        <v>262</v>
      </c>
      <c r="S15" s="211" t="s">
        <v>1189</v>
      </c>
      <c r="T15" s="211" t="s">
        <v>1190</v>
      </c>
      <c r="U15" s="211" t="s">
        <v>262</v>
      </c>
      <c r="V15" s="211"/>
      <c r="W15" s="50" t="s">
        <v>1189</v>
      </c>
      <c r="X15" s="211" t="s">
        <v>262</v>
      </c>
      <c r="Y15" s="211" t="s">
        <v>262</v>
      </c>
      <c r="Z15" s="211" t="s">
        <v>262</v>
      </c>
      <c r="AA15" s="211" t="s">
        <v>262</v>
      </c>
      <c r="AB15" s="211" t="s">
        <v>262</v>
      </c>
      <c r="AC15" s="211"/>
      <c r="AD15" s="213"/>
      <c r="AE15" s="82"/>
      <c r="AF15" s="82"/>
      <c r="AG15" s="92" t="s">
        <v>45</v>
      </c>
      <c r="AH15" s="98" t="s">
        <v>1191</v>
      </c>
      <c r="AI15" s="47">
        <v>46006</v>
      </c>
      <c r="AJ15" s="47">
        <v>46017</v>
      </c>
      <c r="AK15" s="47">
        <v>46385</v>
      </c>
      <c r="AL15" s="156"/>
    </row>
    <row r="16" spans="1:38" ht="73.5" customHeight="1">
      <c r="A16" s="50" t="s">
        <v>14</v>
      </c>
      <c r="B16" s="50" t="s">
        <v>1178</v>
      </c>
      <c r="C16" s="50" t="s">
        <v>1179</v>
      </c>
      <c r="D16" s="50" t="s">
        <v>1180</v>
      </c>
      <c r="E16" s="50" t="s">
        <v>1181</v>
      </c>
      <c r="F16" s="50">
        <v>1044365</v>
      </c>
      <c r="G16" s="50" t="s">
        <v>1182</v>
      </c>
      <c r="H16" s="50" t="s">
        <v>14</v>
      </c>
      <c r="I16" s="50" t="s">
        <v>36</v>
      </c>
      <c r="J16" s="50" t="s">
        <v>36</v>
      </c>
      <c r="K16" s="50" t="s">
        <v>1183</v>
      </c>
      <c r="L16" s="50" t="s">
        <v>1184</v>
      </c>
      <c r="M16" s="50" t="s">
        <v>1217</v>
      </c>
      <c r="N16" s="50" t="s">
        <v>1218</v>
      </c>
      <c r="O16" s="50" t="s">
        <v>1219</v>
      </c>
      <c r="P16" s="220" t="s">
        <v>1212</v>
      </c>
      <c r="Q16" s="50"/>
      <c r="R16" s="50" t="s">
        <v>41</v>
      </c>
      <c r="S16" s="50" t="s">
        <v>1188</v>
      </c>
      <c r="T16" s="50">
        <v>90018116</v>
      </c>
      <c r="U16" s="95" t="s">
        <v>1220</v>
      </c>
      <c r="V16" s="95" t="s">
        <v>1221</v>
      </c>
      <c r="W16" s="50" t="s">
        <v>1189</v>
      </c>
      <c r="X16" s="50" t="s">
        <v>1190</v>
      </c>
      <c r="Y16" s="50"/>
      <c r="Z16" s="50">
        <v>3</v>
      </c>
      <c r="AA16" s="50">
        <v>3</v>
      </c>
      <c r="AB16" s="50"/>
      <c r="AC16" s="50"/>
      <c r="AD16" s="50"/>
      <c r="AE16" s="50"/>
      <c r="AF16" s="50"/>
      <c r="AG16" s="92" t="s">
        <v>45</v>
      </c>
      <c r="AH16" s="98" t="s">
        <v>1191</v>
      </c>
      <c r="AI16" s="47">
        <v>46006</v>
      </c>
      <c r="AJ16" s="47">
        <v>46017</v>
      </c>
      <c r="AK16" s="47">
        <v>46008</v>
      </c>
      <c r="AL16" s="156" t="s">
        <v>2</v>
      </c>
    </row>
    <row r="17" spans="1:38" ht="62.25" customHeight="1">
      <c r="A17" s="205" t="s">
        <v>14</v>
      </c>
      <c r="B17" s="208" t="s">
        <v>1178</v>
      </c>
      <c r="C17" s="208" t="s">
        <v>1179</v>
      </c>
      <c r="D17" s="208" t="s">
        <v>1180</v>
      </c>
      <c r="E17" s="208" t="s">
        <v>1181</v>
      </c>
      <c r="F17" s="208">
        <v>1044365</v>
      </c>
      <c r="G17" s="208" t="s">
        <v>1182</v>
      </c>
      <c r="H17" s="208" t="s">
        <v>14</v>
      </c>
      <c r="I17" s="208" t="s">
        <v>36</v>
      </c>
      <c r="J17" s="208" t="s">
        <v>36</v>
      </c>
      <c r="K17" s="208" t="s">
        <v>1183</v>
      </c>
      <c r="L17" s="208" t="s">
        <v>1184</v>
      </c>
      <c r="M17" s="208" t="s">
        <v>1217</v>
      </c>
      <c r="N17" s="208" t="s">
        <v>1218</v>
      </c>
      <c r="O17" s="208" t="s">
        <v>1219</v>
      </c>
      <c r="P17" s="215" t="s">
        <v>1198</v>
      </c>
      <c r="Q17" s="208" t="s">
        <v>262</v>
      </c>
      <c r="R17" s="208" t="s">
        <v>262</v>
      </c>
      <c r="S17" s="208" t="s">
        <v>1189</v>
      </c>
      <c r="T17" s="208" t="s">
        <v>1190</v>
      </c>
      <c r="U17" s="218" t="s">
        <v>1222</v>
      </c>
      <c r="V17" s="208"/>
      <c r="W17" s="50" t="s">
        <v>1189</v>
      </c>
      <c r="X17" s="208" t="s">
        <v>262</v>
      </c>
      <c r="Y17" s="208" t="s">
        <v>262</v>
      </c>
      <c r="Z17" s="208" t="s">
        <v>262</v>
      </c>
      <c r="AA17" s="208" t="s">
        <v>262</v>
      </c>
      <c r="AB17" s="208" t="s">
        <v>262</v>
      </c>
      <c r="AC17" s="208"/>
      <c r="AD17" s="210"/>
      <c r="AE17" s="77"/>
      <c r="AF17" s="77"/>
      <c r="AG17" s="92" t="s">
        <v>45</v>
      </c>
      <c r="AH17" s="98" t="s">
        <v>1191</v>
      </c>
      <c r="AI17" s="47">
        <v>46006</v>
      </c>
      <c r="AJ17" s="47">
        <v>46017</v>
      </c>
      <c r="AK17" s="47">
        <v>46385</v>
      </c>
      <c r="AL17" s="156"/>
    </row>
    <row r="18" spans="1:38" ht="73.5" customHeight="1">
      <c r="A18" s="207" t="s">
        <v>14</v>
      </c>
      <c r="B18" s="211" t="s">
        <v>1178</v>
      </c>
      <c r="C18" s="211" t="s">
        <v>1179</v>
      </c>
      <c r="D18" s="211" t="s">
        <v>1180</v>
      </c>
      <c r="E18" s="211" t="s">
        <v>1181</v>
      </c>
      <c r="F18" s="211">
        <v>1044365</v>
      </c>
      <c r="G18" s="211" t="s">
        <v>1182</v>
      </c>
      <c r="H18" s="211" t="s">
        <v>14</v>
      </c>
      <c r="I18" s="211" t="s">
        <v>36</v>
      </c>
      <c r="J18" s="211" t="s">
        <v>36</v>
      </c>
      <c r="K18" s="211" t="s">
        <v>1183</v>
      </c>
      <c r="L18" s="211" t="s">
        <v>1184</v>
      </c>
      <c r="M18" s="211" t="s">
        <v>1217</v>
      </c>
      <c r="N18" s="211" t="s">
        <v>1218</v>
      </c>
      <c r="O18" s="211" t="s">
        <v>1219</v>
      </c>
      <c r="P18" s="215" t="s">
        <v>1199</v>
      </c>
      <c r="Q18" s="211" t="s">
        <v>262</v>
      </c>
      <c r="R18" s="211" t="s">
        <v>262</v>
      </c>
      <c r="S18" s="211" t="s">
        <v>1189</v>
      </c>
      <c r="T18" s="211" t="s">
        <v>1190</v>
      </c>
      <c r="U18" s="211" t="s">
        <v>262</v>
      </c>
      <c r="V18" s="211"/>
      <c r="W18" s="50" t="s">
        <v>1189</v>
      </c>
      <c r="X18" s="211" t="s">
        <v>262</v>
      </c>
      <c r="Y18" s="211" t="s">
        <v>262</v>
      </c>
      <c r="Z18" s="211" t="s">
        <v>262</v>
      </c>
      <c r="AA18" s="211" t="s">
        <v>262</v>
      </c>
      <c r="AB18" s="211" t="s">
        <v>262</v>
      </c>
      <c r="AC18" s="211"/>
      <c r="AD18" s="213"/>
      <c r="AE18" s="82"/>
      <c r="AF18" s="82"/>
      <c r="AG18" s="92" t="s">
        <v>45</v>
      </c>
      <c r="AH18" s="98" t="s">
        <v>1191</v>
      </c>
      <c r="AI18" s="47">
        <v>46006</v>
      </c>
      <c r="AJ18" s="47">
        <v>46017</v>
      </c>
      <c r="AK18" s="47">
        <v>46385</v>
      </c>
      <c r="AL18" s="156"/>
    </row>
    <row r="19" spans="1:38" ht="42" customHeight="1">
      <c r="A19" s="50" t="s">
        <v>14</v>
      </c>
      <c r="B19" s="50" t="s">
        <v>1178</v>
      </c>
      <c r="C19" s="50" t="s">
        <v>1179</v>
      </c>
      <c r="D19" s="50" t="s">
        <v>1180</v>
      </c>
      <c r="E19" s="50" t="s">
        <v>1181</v>
      </c>
      <c r="F19" s="50">
        <v>1044365</v>
      </c>
      <c r="G19" s="50" t="s">
        <v>1182</v>
      </c>
      <c r="H19" s="50" t="s">
        <v>14</v>
      </c>
      <c r="I19" s="50" t="s">
        <v>36</v>
      </c>
      <c r="J19" s="50" t="s">
        <v>36</v>
      </c>
      <c r="K19" s="50" t="s">
        <v>1183</v>
      </c>
      <c r="L19" s="50" t="s">
        <v>1184</v>
      </c>
      <c r="M19" s="50" t="s">
        <v>1223</v>
      </c>
      <c r="N19" s="50" t="s">
        <v>1224</v>
      </c>
      <c r="O19" s="50" t="s">
        <v>1219</v>
      </c>
      <c r="P19" s="220" t="s">
        <v>1212</v>
      </c>
      <c r="Q19" s="50"/>
      <c r="R19" s="50" t="s">
        <v>41</v>
      </c>
      <c r="S19" s="50" t="s">
        <v>1188</v>
      </c>
      <c r="T19" s="50">
        <v>90018116</v>
      </c>
      <c r="U19" s="95" t="s">
        <v>1225</v>
      </c>
      <c r="V19" s="95" t="s">
        <v>1226</v>
      </c>
      <c r="W19" s="50" t="s">
        <v>1189</v>
      </c>
      <c r="X19" s="50" t="s">
        <v>1190</v>
      </c>
      <c r="Y19" s="50"/>
      <c r="Z19" s="50">
        <v>3</v>
      </c>
      <c r="AA19" s="50">
        <v>3</v>
      </c>
      <c r="AB19" s="50"/>
      <c r="AC19" s="50"/>
      <c r="AD19" s="50"/>
      <c r="AE19" s="50"/>
      <c r="AF19" s="50"/>
      <c r="AG19" s="92" t="s">
        <v>45</v>
      </c>
      <c r="AH19" s="98" t="s">
        <v>1191</v>
      </c>
      <c r="AI19" s="47">
        <v>46006</v>
      </c>
      <c r="AJ19" s="47">
        <v>46017</v>
      </c>
      <c r="AK19" s="47">
        <v>46008</v>
      </c>
      <c r="AL19" s="156" t="s">
        <v>2</v>
      </c>
    </row>
    <row r="20" spans="1:38" ht="38.25" customHeight="1">
      <c r="A20" s="205" t="s">
        <v>14</v>
      </c>
      <c r="B20" s="208" t="s">
        <v>1178</v>
      </c>
      <c r="C20" s="208" t="s">
        <v>1179</v>
      </c>
      <c r="D20" s="208" t="s">
        <v>1180</v>
      </c>
      <c r="E20" s="208" t="s">
        <v>1181</v>
      </c>
      <c r="F20" s="208">
        <v>1044365</v>
      </c>
      <c r="G20" s="208" t="s">
        <v>1182</v>
      </c>
      <c r="H20" s="208" t="s">
        <v>14</v>
      </c>
      <c r="I20" s="208" t="s">
        <v>36</v>
      </c>
      <c r="J20" s="208" t="s">
        <v>36</v>
      </c>
      <c r="K20" s="208" t="s">
        <v>1183</v>
      </c>
      <c r="L20" s="208" t="s">
        <v>1184</v>
      </c>
      <c r="M20" s="208" t="s">
        <v>1223</v>
      </c>
      <c r="N20" s="208" t="s">
        <v>1224</v>
      </c>
      <c r="O20" s="97" t="s">
        <v>1219</v>
      </c>
      <c r="P20" s="221" t="s">
        <v>1198</v>
      </c>
      <c r="Q20" s="208" t="s">
        <v>262</v>
      </c>
      <c r="R20" s="208" t="s">
        <v>262</v>
      </c>
      <c r="S20" s="208" t="s">
        <v>1189</v>
      </c>
      <c r="T20" s="208" t="s">
        <v>1190</v>
      </c>
      <c r="U20" s="218" t="s">
        <v>1227</v>
      </c>
      <c r="V20" s="208"/>
      <c r="W20" s="208"/>
      <c r="X20" s="208"/>
      <c r="Y20" s="208"/>
      <c r="Z20" s="208"/>
      <c r="AA20" s="208"/>
      <c r="AB20" s="208"/>
      <c r="AC20" s="208"/>
      <c r="AD20" s="210"/>
      <c r="AE20" s="77"/>
      <c r="AF20" s="77"/>
      <c r="AG20" s="92" t="s">
        <v>45</v>
      </c>
      <c r="AH20" s="98" t="s">
        <v>1191</v>
      </c>
      <c r="AI20" s="47">
        <v>46006</v>
      </c>
      <c r="AJ20" s="47">
        <v>46017</v>
      </c>
      <c r="AK20" s="47">
        <v>46385</v>
      </c>
      <c r="AL20" s="156"/>
    </row>
    <row r="21" spans="1:38" ht="42" customHeight="1">
      <c r="A21" s="207" t="s">
        <v>14</v>
      </c>
      <c r="B21" s="211" t="s">
        <v>1178</v>
      </c>
      <c r="C21" s="211" t="s">
        <v>1179</v>
      </c>
      <c r="D21" s="211" t="s">
        <v>1180</v>
      </c>
      <c r="E21" s="211" t="s">
        <v>1181</v>
      </c>
      <c r="F21" s="211">
        <v>1044365</v>
      </c>
      <c r="G21" s="211" t="s">
        <v>1182</v>
      </c>
      <c r="H21" s="211" t="s">
        <v>14</v>
      </c>
      <c r="I21" s="211" t="s">
        <v>36</v>
      </c>
      <c r="J21" s="211" t="s">
        <v>36</v>
      </c>
      <c r="K21" s="211" t="s">
        <v>1183</v>
      </c>
      <c r="L21" s="211" t="s">
        <v>1184</v>
      </c>
      <c r="M21" s="211" t="s">
        <v>1223</v>
      </c>
      <c r="N21" s="211" t="s">
        <v>1224</v>
      </c>
      <c r="O21" s="219" t="s">
        <v>1219</v>
      </c>
      <c r="P21" s="221" t="s">
        <v>1199</v>
      </c>
      <c r="Q21" s="211" t="s">
        <v>262</v>
      </c>
      <c r="R21" s="211" t="s">
        <v>262</v>
      </c>
      <c r="S21" s="211" t="s">
        <v>1189</v>
      </c>
      <c r="T21" s="211" t="s">
        <v>1190</v>
      </c>
      <c r="U21" s="211" t="s">
        <v>262</v>
      </c>
      <c r="V21" s="211"/>
      <c r="W21" s="211"/>
      <c r="X21" s="211"/>
      <c r="Y21" s="211"/>
      <c r="Z21" s="211"/>
      <c r="AA21" s="211"/>
      <c r="AB21" s="211"/>
      <c r="AC21" s="211"/>
      <c r="AD21" s="213"/>
      <c r="AE21" s="82"/>
      <c r="AF21" s="82"/>
      <c r="AG21" s="92" t="s">
        <v>45</v>
      </c>
      <c r="AH21" s="98" t="s">
        <v>1191</v>
      </c>
      <c r="AI21" s="47">
        <v>46006</v>
      </c>
      <c r="AJ21" s="47">
        <v>46017</v>
      </c>
      <c r="AK21" s="47">
        <v>46385</v>
      </c>
      <c r="AL21" s="156"/>
    </row>
    <row r="22" spans="1:38" ht="44.25" customHeight="1">
      <c r="A22" s="50" t="s">
        <v>14</v>
      </c>
      <c r="B22" s="50" t="s">
        <v>1178</v>
      </c>
      <c r="C22" s="50" t="s">
        <v>1179</v>
      </c>
      <c r="D22" s="50" t="s">
        <v>1180</v>
      </c>
      <c r="E22" s="50" t="s">
        <v>1181</v>
      </c>
      <c r="F22" s="50">
        <v>1044365</v>
      </c>
      <c r="G22" s="50" t="s">
        <v>1182</v>
      </c>
      <c r="H22" s="50" t="s">
        <v>14</v>
      </c>
      <c r="I22" s="50" t="s">
        <v>36</v>
      </c>
      <c r="J22" s="50" t="s">
        <v>36</v>
      </c>
      <c r="K22" s="50" t="s">
        <v>1183</v>
      </c>
      <c r="L22" s="50" t="s">
        <v>1184</v>
      </c>
      <c r="M22" s="50" t="s">
        <v>1228</v>
      </c>
      <c r="N22" s="50" t="s">
        <v>1229</v>
      </c>
      <c r="O22" s="50" t="s">
        <v>1219</v>
      </c>
      <c r="P22" s="220" t="s">
        <v>1212</v>
      </c>
      <c r="Q22" s="50"/>
      <c r="R22" s="50" t="s">
        <v>41</v>
      </c>
      <c r="S22" s="50" t="s">
        <v>1188</v>
      </c>
      <c r="T22" s="50">
        <v>90018116</v>
      </c>
      <c r="U22" s="95" t="s">
        <v>1230</v>
      </c>
      <c r="V22" s="95" t="s">
        <v>1231</v>
      </c>
      <c r="W22" s="50" t="s">
        <v>1189</v>
      </c>
      <c r="X22" s="50" t="s">
        <v>1190</v>
      </c>
      <c r="Y22" s="50"/>
      <c r="Z22" s="50">
        <v>3</v>
      </c>
      <c r="AA22" s="50">
        <v>3</v>
      </c>
      <c r="AB22" s="50"/>
      <c r="AC22" s="50"/>
      <c r="AD22" s="50"/>
      <c r="AE22" s="50"/>
      <c r="AF22" s="50"/>
      <c r="AG22" s="92" t="s">
        <v>45</v>
      </c>
      <c r="AH22" s="98" t="s">
        <v>1191</v>
      </c>
      <c r="AI22" s="47">
        <v>46006</v>
      </c>
      <c r="AJ22" s="47">
        <v>46017</v>
      </c>
      <c r="AK22" s="47">
        <v>46008</v>
      </c>
      <c r="AL22" s="156" t="s">
        <v>2</v>
      </c>
    </row>
    <row r="23" spans="1:38" ht="44.25" customHeight="1">
      <c r="A23" s="205" t="s">
        <v>14</v>
      </c>
      <c r="B23" s="208" t="s">
        <v>1178</v>
      </c>
      <c r="C23" s="208" t="s">
        <v>1179</v>
      </c>
      <c r="D23" s="208" t="s">
        <v>1180</v>
      </c>
      <c r="E23" s="208" t="s">
        <v>1181</v>
      </c>
      <c r="F23" s="208">
        <v>1044365</v>
      </c>
      <c r="G23" s="208" t="s">
        <v>1182</v>
      </c>
      <c r="H23" s="208" t="s">
        <v>14</v>
      </c>
      <c r="I23" s="208" t="s">
        <v>36</v>
      </c>
      <c r="J23" s="208" t="s">
        <v>36</v>
      </c>
      <c r="K23" s="208" t="s">
        <v>1183</v>
      </c>
      <c r="L23" s="208" t="s">
        <v>1184</v>
      </c>
      <c r="M23" s="208" t="s">
        <v>1228</v>
      </c>
      <c r="N23" s="208" t="s">
        <v>1229</v>
      </c>
      <c r="O23" s="97" t="s">
        <v>1219</v>
      </c>
      <c r="P23" s="222" t="s">
        <v>1198</v>
      </c>
      <c r="Q23" s="208" t="s">
        <v>262</v>
      </c>
      <c r="R23" s="208" t="s">
        <v>262</v>
      </c>
      <c r="S23" s="208" t="s">
        <v>1189</v>
      </c>
      <c r="T23" s="208" t="s">
        <v>1190</v>
      </c>
      <c r="U23" s="218" t="s">
        <v>1232</v>
      </c>
      <c r="V23" s="208"/>
      <c r="W23" s="208"/>
      <c r="X23" s="208" t="s">
        <v>262</v>
      </c>
      <c r="Y23" s="208" t="s">
        <v>262</v>
      </c>
      <c r="Z23" s="208" t="s">
        <v>262</v>
      </c>
      <c r="AA23" s="208" t="s">
        <v>262</v>
      </c>
      <c r="AB23" s="208" t="s">
        <v>262</v>
      </c>
      <c r="AC23" s="208"/>
      <c r="AD23" s="210"/>
      <c r="AE23" s="77"/>
      <c r="AF23" s="77"/>
      <c r="AG23" s="92" t="s">
        <v>45</v>
      </c>
      <c r="AH23" s="98" t="s">
        <v>1191</v>
      </c>
      <c r="AI23" s="47">
        <v>46006</v>
      </c>
      <c r="AJ23" s="47">
        <v>46017</v>
      </c>
      <c r="AK23" s="47">
        <v>46385</v>
      </c>
      <c r="AL23" s="156"/>
    </row>
    <row r="24" spans="1:38" ht="44.25" customHeight="1">
      <c r="A24" s="207" t="s">
        <v>14</v>
      </c>
      <c r="B24" s="211" t="s">
        <v>1178</v>
      </c>
      <c r="C24" s="211" t="s">
        <v>1179</v>
      </c>
      <c r="D24" s="211" t="s">
        <v>1180</v>
      </c>
      <c r="E24" s="211" t="s">
        <v>1181</v>
      </c>
      <c r="F24" s="211">
        <v>1044365</v>
      </c>
      <c r="G24" s="211" t="s">
        <v>1182</v>
      </c>
      <c r="H24" s="211" t="s">
        <v>14</v>
      </c>
      <c r="I24" s="211" t="s">
        <v>36</v>
      </c>
      <c r="J24" s="211" t="s">
        <v>36</v>
      </c>
      <c r="K24" s="211" t="s">
        <v>1183</v>
      </c>
      <c r="L24" s="211" t="s">
        <v>1184</v>
      </c>
      <c r="M24" s="211" t="s">
        <v>1228</v>
      </c>
      <c r="N24" s="211" t="s">
        <v>1229</v>
      </c>
      <c r="O24" s="219" t="s">
        <v>1219</v>
      </c>
      <c r="P24" s="223" t="s">
        <v>1199</v>
      </c>
      <c r="Q24" s="211" t="s">
        <v>262</v>
      </c>
      <c r="R24" s="211" t="s">
        <v>262</v>
      </c>
      <c r="S24" s="211" t="s">
        <v>1189</v>
      </c>
      <c r="T24" s="211" t="s">
        <v>1190</v>
      </c>
      <c r="U24" s="211" t="s">
        <v>262</v>
      </c>
      <c r="V24" s="211"/>
      <c r="W24" s="211"/>
      <c r="X24" s="211" t="s">
        <v>262</v>
      </c>
      <c r="Y24" s="211" t="s">
        <v>262</v>
      </c>
      <c r="Z24" s="211" t="s">
        <v>262</v>
      </c>
      <c r="AA24" s="211" t="s">
        <v>262</v>
      </c>
      <c r="AB24" s="211" t="s">
        <v>262</v>
      </c>
      <c r="AC24" s="211"/>
      <c r="AD24" s="213"/>
      <c r="AE24" s="82"/>
      <c r="AF24" s="82"/>
      <c r="AG24" s="92" t="s">
        <v>45</v>
      </c>
      <c r="AH24" s="98" t="s">
        <v>1191</v>
      </c>
      <c r="AI24" s="47">
        <v>46006</v>
      </c>
      <c r="AJ24" s="47">
        <v>46017</v>
      </c>
      <c r="AK24" s="47">
        <v>46385</v>
      </c>
      <c r="AL24" s="156"/>
    </row>
    <row r="25" spans="1:38" ht="34.5" customHeight="1">
      <c r="A25" s="50" t="s">
        <v>14</v>
      </c>
      <c r="B25" s="50" t="s">
        <v>1178</v>
      </c>
      <c r="C25" s="50" t="s">
        <v>1179</v>
      </c>
      <c r="D25" s="50" t="s">
        <v>1180</v>
      </c>
      <c r="E25" s="50" t="s">
        <v>1181</v>
      </c>
      <c r="F25" s="50">
        <v>1044365</v>
      </c>
      <c r="G25" s="50" t="s">
        <v>1182</v>
      </c>
      <c r="H25" s="50" t="s">
        <v>14</v>
      </c>
      <c r="I25" s="50" t="s">
        <v>36</v>
      </c>
      <c r="J25" s="50" t="s">
        <v>36</v>
      </c>
      <c r="K25" s="50" t="s">
        <v>1183</v>
      </c>
      <c r="L25" s="50" t="s">
        <v>1184</v>
      </c>
      <c r="M25" s="50" t="s">
        <v>1233</v>
      </c>
      <c r="N25" s="50" t="s">
        <v>1234</v>
      </c>
      <c r="O25" s="50" t="s">
        <v>1235</v>
      </c>
      <c r="P25" s="220" t="s">
        <v>1212</v>
      </c>
      <c r="Q25" s="50"/>
      <c r="R25" s="50" t="s">
        <v>41</v>
      </c>
      <c r="S25" s="50" t="s">
        <v>1188</v>
      </c>
      <c r="T25" s="50">
        <v>90018116</v>
      </c>
      <c r="U25" s="95" t="s">
        <v>1236</v>
      </c>
      <c r="V25" s="95" t="s">
        <v>1237</v>
      </c>
      <c r="W25" s="50" t="s">
        <v>1189</v>
      </c>
      <c r="X25" s="50" t="s">
        <v>1190</v>
      </c>
      <c r="Y25" s="50"/>
      <c r="Z25" s="50">
        <v>3</v>
      </c>
      <c r="AA25" s="50">
        <v>3</v>
      </c>
      <c r="AB25" s="50"/>
      <c r="AC25" s="50"/>
      <c r="AD25" s="50"/>
      <c r="AE25" s="50"/>
      <c r="AF25" s="50"/>
      <c r="AG25" s="92" t="s">
        <v>45</v>
      </c>
      <c r="AH25" s="98" t="s">
        <v>1191</v>
      </c>
      <c r="AI25" s="47">
        <v>46006</v>
      </c>
      <c r="AJ25" s="47">
        <v>46017</v>
      </c>
      <c r="AK25" s="47">
        <v>46008</v>
      </c>
      <c r="AL25" s="156" t="s">
        <v>2</v>
      </c>
    </row>
    <row r="26" spans="1:38" ht="34.5" customHeight="1">
      <c r="A26" s="205" t="s">
        <v>14</v>
      </c>
      <c r="B26" s="208" t="s">
        <v>1178</v>
      </c>
      <c r="C26" s="208" t="s">
        <v>1179</v>
      </c>
      <c r="D26" s="208" t="s">
        <v>1180</v>
      </c>
      <c r="E26" s="208" t="s">
        <v>1181</v>
      </c>
      <c r="F26" s="208">
        <v>1044365</v>
      </c>
      <c r="G26" s="208" t="s">
        <v>1182</v>
      </c>
      <c r="H26" s="208" t="s">
        <v>14</v>
      </c>
      <c r="I26" s="208" t="s">
        <v>36</v>
      </c>
      <c r="J26" s="208" t="s">
        <v>36</v>
      </c>
      <c r="K26" s="208" t="s">
        <v>1183</v>
      </c>
      <c r="L26" s="208" t="s">
        <v>1184</v>
      </c>
      <c r="M26" s="208" t="s">
        <v>1233</v>
      </c>
      <c r="N26" s="208" t="s">
        <v>1234</v>
      </c>
      <c r="O26" s="97" t="s">
        <v>1235</v>
      </c>
      <c r="P26" s="222" t="s">
        <v>1198</v>
      </c>
      <c r="Q26" s="208" t="s">
        <v>262</v>
      </c>
      <c r="R26" s="208" t="s">
        <v>262</v>
      </c>
      <c r="S26" s="208" t="s">
        <v>1189</v>
      </c>
      <c r="T26" s="208" t="s">
        <v>1190</v>
      </c>
      <c r="U26" s="208" t="s">
        <v>1238</v>
      </c>
      <c r="V26" s="208"/>
      <c r="W26" s="208"/>
      <c r="X26" s="208" t="s">
        <v>262</v>
      </c>
      <c r="Y26" s="208" t="s">
        <v>262</v>
      </c>
      <c r="Z26" s="208" t="s">
        <v>262</v>
      </c>
      <c r="AA26" s="208" t="s">
        <v>262</v>
      </c>
      <c r="AB26" s="208" t="s">
        <v>262</v>
      </c>
      <c r="AC26" s="208"/>
      <c r="AD26" s="210"/>
      <c r="AE26" s="77"/>
      <c r="AF26" s="77"/>
      <c r="AG26" s="92" t="s">
        <v>45</v>
      </c>
      <c r="AH26" s="98" t="s">
        <v>1191</v>
      </c>
      <c r="AI26" s="47">
        <v>46006</v>
      </c>
      <c r="AJ26" s="47">
        <v>46017</v>
      </c>
      <c r="AK26" s="47">
        <v>46385</v>
      </c>
      <c r="AL26" s="156"/>
    </row>
    <row r="27" spans="1:38" ht="34.5" customHeight="1">
      <c r="A27" s="207" t="s">
        <v>14</v>
      </c>
      <c r="B27" s="211" t="s">
        <v>1178</v>
      </c>
      <c r="C27" s="211" t="s">
        <v>1179</v>
      </c>
      <c r="D27" s="211" t="s">
        <v>1180</v>
      </c>
      <c r="E27" s="211" t="s">
        <v>1181</v>
      </c>
      <c r="F27" s="211">
        <v>1044365</v>
      </c>
      <c r="G27" s="211" t="s">
        <v>1182</v>
      </c>
      <c r="H27" s="211" t="s">
        <v>14</v>
      </c>
      <c r="I27" s="211" t="s">
        <v>36</v>
      </c>
      <c r="J27" s="211" t="s">
        <v>36</v>
      </c>
      <c r="K27" s="211" t="s">
        <v>1183</v>
      </c>
      <c r="L27" s="211" t="s">
        <v>1184</v>
      </c>
      <c r="M27" s="211" t="s">
        <v>1233</v>
      </c>
      <c r="N27" s="211" t="s">
        <v>1234</v>
      </c>
      <c r="O27" s="211" t="s">
        <v>1235</v>
      </c>
      <c r="P27" s="223" t="s">
        <v>1199</v>
      </c>
      <c r="Q27" s="211" t="s">
        <v>262</v>
      </c>
      <c r="R27" s="211" t="s">
        <v>262</v>
      </c>
      <c r="S27" s="211" t="s">
        <v>1189</v>
      </c>
      <c r="T27" s="211" t="s">
        <v>1190</v>
      </c>
      <c r="U27" s="211" t="s">
        <v>262</v>
      </c>
      <c r="V27" s="211"/>
      <c r="W27" s="211"/>
      <c r="X27" s="211" t="s">
        <v>262</v>
      </c>
      <c r="Y27" s="211" t="s">
        <v>262</v>
      </c>
      <c r="Z27" s="211" t="s">
        <v>262</v>
      </c>
      <c r="AA27" s="211" t="s">
        <v>262</v>
      </c>
      <c r="AB27" s="211" t="s">
        <v>262</v>
      </c>
      <c r="AC27" s="211"/>
      <c r="AD27" s="213"/>
      <c r="AE27" s="82"/>
      <c r="AF27" s="82"/>
      <c r="AG27" s="92" t="s">
        <v>45</v>
      </c>
      <c r="AH27" s="98" t="s">
        <v>1191</v>
      </c>
      <c r="AI27" s="47">
        <v>46006</v>
      </c>
      <c r="AJ27" s="47">
        <v>46017</v>
      </c>
      <c r="AK27" s="47">
        <v>46385</v>
      </c>
      <c r="AL27" s="156"/>
    </row>
    <row r="28" spans="1:38" ht="35.25" customHeight="1">
      <c r="A28" s="50" t="s">
        <v>14</v>
      </c>
      <c r="B28" s="50" t="s">
        <v>1178</v>
      </c>
      <c r="C28" s="50" t="s">
        <v>1179</v>
      </c>
      <c r="D28" s="50" t="s">
        <v>1180</v>
      </c>
      <c r="E28" s="50" t="s">
        <v>1181</v>
      </c>
      <c r="F28" s="50">
        <v>1044365</v>
      </c>
      <c r="G28" s="50" t="s">
        <v>1182</v>
      </c>
      <c r="H28" s="50" t="s">
        <v>14</v>
      </c>
      <c r="I28" s="50" t="s">
        <v>36</v>
      </c>
      <c r="J28" s="50" t="s">
        <v>36</v>
      </c>
      <c r="K28" s="50" t="s">
        <v>1183</v>
      </c>
      <c r="L28" s="50" t="s">
        <v>1184</v>
      </c>
      <c r="M28" s="50" t="s">
        <v>1239</v>
      </c>
      <c r="N28" s="50" t="s">
        <v>1240</v>
      </c>
      <c r="O28" s="50" t="s">
        <v>1241</v>
      </c>
      <c r="P28" s="214" t="s">
        <v>1212</v>
      </c>
      <c r="Q28" s="50"/>
      <c r="R28" s="50" t="s">
        <v>41</v>
      </c>
      <c r="S28" s="50" t="s">
        <v>1188</v>
      </c>
      <c r="T28" s="50">
        <v>90018116</v>
      </c>
      <c r="U28" s="95" t="s">
        <v>1242</v>
      </c>
      <c r="V28" s="95" t="s">
        <v>1243</v>
      </c>
      <c r="W28" s="50" t="s">
        <v>1189</v>
      </c>
      <c r="X28" s="50" t="s">
        <v>1190</v>
      </c>
      <c r="Y28" s="50"/>
      <c r="Z28" s="50">
        <v>3</v>
      </c>
      <c r="AA28" s="50">
        <v>3</v>
      </c>
      <c r="AB28" s="50"/>
      <c r="AC28" s="50"/>
      <c r="AD28" s="50"/>
      <c r="AE28" s="50"/>
      <c r="AF28" s="50"/>
      <c r="AG28" s="92" t="s">
        <v>45</v>
      </c>
      <c r="AH28" s="98" t="s">
        <v>1191</v>
      </c>
      <c r="AI28" s="47">
        <v>46006</v>
      </c>
      <c r="AJ28" s="47">
        <v>46017</v>
      </c>
      <c r="AK28" s="47">
        <v>46008</v>
      </c>
      <c r="AL28" s="156" t="s">
        <v>3</v>
      </c>
    </row>
    <row r="29" spans="1:38" ht="35.25" customHeight="1">
      <c r="A29" s="205" t="s">
        <v>14</v>
      </c>
      <c r="B29" s="208" t="s">
        <v>1178</v>
      </c>
      <c r="C29" s="208" t="s">
        <v>1179</v>
      </c>
      <c r="D29" s="208" t="s">
        <v>1180</v>
      </c>
      <c r="E29" s="208" t="s">
        <v>1181</v>
      </c>
      <c r="F29" s="208">
        <v>1044365</v>
      </c>
      <c r="G29" s="208" t="s">
        <v>1182</v>
      </c>
      <c r="H29" s="208" t="s">
        <v>14</v>
      </c>
      <c r="I29" s="208" t="s">
        <v>36</v>
      </c>
      <c r="J29" s="208" t="s">
        <v>36</v>
      </c>
      <c r="K29" s="208" t="s">
        <v>1183</v>
      </c>
      <c r="L29" s="208" t="s">
        <v>1184</v>
      </c>
      <c r="M29" s="208" t="s">
        <v>1239</v>
      </c>
      <c r="N29" s="208" t="s">
        <v>1240</v>
      </c>
      <c r="O29" s="50" t="s">
        <v>1241</v>
      </c>
      <c r="P29" s="209" t="s">
        <v>1198</v>
      </c>
      <c r="Q29" s="50"/>
      <c r="R29" s="50"/>
      <c r="S29" s="50"/>
      <c r="T29" s="50"/>
      <c r="U29" s="95" t="s">
        <v>1244</v>
      </c>
      <c r="V29" s="95"/>
      <c r="W29" s="50"/>
      <c r="X29" s="50"/>
      <c r="Y29" s="50"/>
      <c r="Z29" s="50"/>
      <c r="AA29" s="50"/>
      <c r="AB29" s="50"/>
      <c r="AC29" s="50"/>
      <c r="AD29" s="50"/>
      <c r="AE29" s="50"/>
      <c r="AF29" s="50"/>
      <c r="AG29" s="92" t="s">
        <v>45</v>
      </c>
      <c r="AH29" s="98" t="s">
        <v>1191</v>
      </c>
      <c r="AI29" s="47">
        <v>46006</v>
      </c>
      <c r="AJ29" s="47">
        <v>46017</v>
      </c>
      <c r="AK29" s="47">
        <v>46385</v>
      </c>
      <c r="AL29" s="156"/>
    </row>
    <row r="30" spans="1:38" ht="35.25" customHeight="1">
      <c r="A30" s="207" t="s">
        <v>14</v>
      </c>
      <c r="B30" s="211" t="s">
        <v>1178</v>
      </c>
      <c r="C30" s="211" t="s">
        <v>1179</v>
      </c>
      <c r="D30" s="211" t="s">
        <v>1180</v>
      </c>
      <c r="E30" s="211" t="s">
        <v>1181</v>
      </c>
      <c r="F30" s="211">
        <v>1044365</v>
      </c>
      <c r="G30" s="211" t="s">
        <v>1182</v>
      </c>
      <c r="H30" s="211" t="s">
        <v>14</v>
      </c>
      <c r="I30" s="211" t="s">
        <v>36</v>
      </c>
      <c r="J30" s="211" t="s">
        <v>36</v>
      </c>
      <c r="K30" s="211" t="s">
        <v>1183</v>
      </c>
      <c r="L30" s="211" t="s">
        <v>1184</v>
      </c>
      <c r="M30" s="211" t="s">
        <v>1239</v>
      </c>
      <c r="N30" s="211" t="s">
        <v>1240</v>
      </c>
      <c r="O30" s="50" t="s">
        <v>1241</v>
      </c>
      <c r="P30" s="212" t="s">
        <v>1199</v>
      </c>
      <c r="Q30" s="50"/>
      <c r="R30" s="50"/>
      <c r="S30" s="50"/>
      <c r="T30" s="50"/>
      <c r="U30" s="95"/>
      <c r="V30" s="95"/>
      <c r="W30" s="50"/>
      <c r="X30" s="50"/>
      <c r="Y30" s="50"/>
      <c r="Z30" s="50"/>
      <c r="AA30" s="50"/>
      <c r="AB30" s="50"/>
      <c r="AC30" s="50"/>
      <c r="AD30" s="50"/>
      <c r="AE30" s="50"/>
      <c r="AF30" s="50"/>
      <c r="AG30" s="92" t="s">
        <v>45</v>
      </c>
      <c r="AH30" s="98" t="s">
        <v>1191</v>
      </c>
      <c r="AI30" s="47">
        <v>46006</v>
      </c>
      <c r="AJ30" s="47">
        <v>46017</v>
      </c>
      <c r="AK30" s="47">
        <v>46385</v>
      </c>
      <c r="AL30" s="156"/>
    </row>
    <row r="31" spans="1:38" ht="43.5">
      <c r="A31" s="50" t="s">
        <v>14</v>
      </c>
      <c r="B31" s="50" t="s">
        <v>1178</v>
      </c>
      <c r="C31" s="50" t="s">
        <v>1179</v>
      </c>
      <c r="D31" s="50" t="s">
        <v>1180</v>
      </c>
      <c r="E31" s="50" t="s">
        <v>1181</v>
      </c>
      <c r="F31" s="50">
        <v>1044365</v>
      </c>
      <c r="G31" s="50" t="s">
        <v>1182</v>
      </c>
      <c r="H31" s="50" t="s">
        <v>14</v>
      </c>
      <c r="I31" s="50" t="s">
        <v>36</v>
      </c>
      <c r="J31" s="50" t="s">
        <v>36</v>
      </c>
      <c r="K31" s="50" t="s">
        <v>1183</v>
      </c>
      <c r="L31" s="50" t="s">
        <v>1184</v>
      </c>
      <c r="M31" s="50" t="s">
        <v>1245</v>
      </c>
      <c r="N31" s="50" t="s">
        <v>1246</v>
      </c>
      <c r="O31" s="50" t="s">
        <v>1247</v>
      </c>
      <c r="P31" s="214" t="s">
        <v>1212</v>
      </c>
      <c r="Q31" s="50"/>
      <c r="R31" s="50" t="s">
        <v>41</v>
      </c>
      <c r="S31" s="50" t="s">
        <v>1188</v>
      </c>
      <c r="T31" s="50">
        <v>90018116</v>
      </c>
      <c r="U31" s="95" t="s">
        <v>1248</v>
      </c>
      <c r="V31" s="95" t="s">
        <v>1249</v>
      </c>
      <c r="W31" s="50" t="s">
        <v>1189</v>
      </c>
      <c r="X31" s="50" t="s">
        <v>1190</v>
      </c>
      <c r="Y31" s="50"/>
      <c r="Z31" s="50">
        <v>3</v>
      </c>
      <c r="AA31" s="50">
        <v>3</v>
      </c>
      <c r="AB31" s="50"/>
      <c r="AC31" s="50"/>
      <c r="AD31" s="50"/>
      <c r="AE31" s="50"/>
      <c r="AF31" s="50"/>
      <c r="AG31" s="92" t="s">
        <v>45</v>
      </c>
      <c r="AH31" s="98" t="s">
        <v>1191</v>
      </c>
      <c r="AI31" s="47">
        <v>46006</v>
      </c>
      <c r="AJ31" s="47">
        <v>46017</v>
      </c>
      <c r="AK31" s="47">
        <v>46008</v>
      </c>
      <c r="AL31" s="156" t="s">
        <v>2</v>
      </c>
    </row>
    <row r="32" spans="1:38" ht="33" customHeight="1">
      <c r="A32" s="50" t="s">
        <v>14</v>
      </c>
      <c r="B32" s="50" t="s">
        <v>1178</v>
      </c>
      <c r="C32" s="50" t="s">
        <v>1179</v>
      </c>
      <c r="D32" s="50" t="s">
        <v>1180</v>
      </c>
      <c r="E32" s="50" t="s">
        <v>1181</v>
      </c>
      <c r="F32" s="50">
        <v>1044365</v>
      </c>
      <c r="G32" s="50" t="s">
        <v>1182</v>
      </c>
      <c r="H32" s="50" t="s">
        <v>14</v>
      </c>
      <c r="I32" s="50" t="s">
        <v>36</v>
      </c>
      <c r="J32" s="50" t="s">
        <v>36</v>
      </c>
      <c r="K32" s="50" t="s">
        <v>1183</v>
      </c>
      <c r="L32" s="50" t="s">
        <v>1184</v>
      </c>
      <c r="M32" s="50" t="s">
        <v>1245</v>
      </c>
      <c r="N32" s="50" t="s">
        <v>1246</v>
      </c>
      <c r="O32" s="50" t="s">
        <v>1247</v>
      </c>
      <c r="P32" s="209" t="s">
        <v>1198</v>
      </c>
      <c r="Q32" s="50"/>
      <c r="R32" s="50"/>
      <c r="S32" s="50"/>
      <c r="T32" s="50"/>
      <c r="U32" s="95" t="s">
        <v>1250</v>
      </c>
      <c r="V32" s="95"/>
      <c r="W32" s="50"/>
      <c r="X32" s="50"/>
      <c r="Y32" s="50"/>
      <c r="Z32" s="50"/>
      <c r="AA32" s="50"/>
      <c r="AB32" s="50"/>
      <c r="AC32" s="50"/>
      <c r="AD32" s="50"/>
      <c r="AE32" s="50"/>
      <c r="AF32" s="50"/>
      <c r="AG32" s="92" t="s">
        <v>45</v>
      </c>
      <c r="AH32" s="98" t="s">
        <v>1191</v>
      </c>
      <c r="AI32" s="47">
        <v>46006</v>
      </c>
      <c r="AJ32" s="47">
        <v>46017</v>
      </c>
      <c r="AK32" s="47">
        <v>46385</v>
      </c>
      <c r="AL32" s="156"/>
    </row>
    <row r="33" spans="1:38">
      <c r="A33" s="50" t="s">
        <v>14</v>
      </c>
      <c r="B33" s="50" t="s">
        <v>1178</v>
      </c>
      <c r="C33" s="50" t="s">
        <v>1179</v>
      </c>
      <c r="D33" s="50" t="s">
        <v>1180</v>
      </c>
      <c r="E33" s="50" t="s">
        <v>1181</v>
      </c>
      <c r="F33" s="50">
        <v>1044365</v>
      </c>
      <c r="G33" s="50" t="s">
        <v>1182</v>
      </c>
      <c r="H33" s="50" t="s">
        <v>14</v>
      </c>
      <c r="I33" s="50" t="s">
        <v>36</v>
      </c>
      <c r="J33" s="50" t="s">
        <v>36</v>
      </c>
      <c r="K33" s="50" t="s">
        <v>1183</v>
      </c>
      <c r="L33" s="50" t="s">
        <v>1184</v>
      </c>
      <c r="M33" s="50" t="s">
        <v>1245</v>
      </c>
      <c r="N33" s="50" t="s">
        <v>1246</v>
      </c>
      <c r="O33" s="50" t="s">
        <v>1247</v>
      </c>
      <c r="P33" s="212" t="s">
        <v>1199</v>
      </c>
      <c r="Q33" s="50"/>
      <c r="R33" s="50"/>
      <c r="S33" s="50"/>
      <c r="T33" s="50"/>
      <c r="U33" s="95"/>
      <c r="V33" s="95"/>
      <c r="W33" s="50"/>
      <c r="X33" s="50"/>
      <c r="Y33" s="50"/>
      <c r="Z33" s="50"/>
      <c r="AA33" s="50"/>
      <c r="AB33" s="50"/>
      <c r="AC33" s="50"/>
      <c r="AD33" s="50"/>
      <c r="AE33" s="50"/>
      <c r="AF33" s="50"/>
      <c r="AG33" s="92" t="s">
        <v>45</v>
      </c>
      <c r="AH33" s="98" t="s">
        <v>1191</v>
      </c>
      <c r="AI33" s="47">
        <v>46006</v>
      </c>
      <c r="AJ33" s="47">
        <v>46017</v>
      </c>
      <c r="AK33" s="47">
        <v>46385</v>
      </c>
      <c r="AL33" s="156"/>
    </row>
    <row r="34" spans="1:38" ht="43.5">
      <c r="A34" s="50" t="s">
        <v>14</v>
      </c>
      <c r="B34" s="50" t="s">
        <v>1178</v>
      </c>
      <c r="C34" s="50" t="s">
        <v>1179</v>
      </c>
      <c r="D34" s="50" t="s">
        <v>1180</v>
      </c>
      <c r="E34" s="50" t="s">
        <v>1181</v>
      </c>
      <c r="F34" s="50">
        <v>1044365</v>
      </c>
      <c r="G34" s="50" t="s">
        <v>1182</v>
      </c>
      <c r="H34" s="50" t="s">
        <v>14</v>
      </c>
      <c r="I34" s="50" t="s">
        <v>36</v>
      </c>
      <c r="J34" s="50" t="s">
        <v>36</v>
      </c>
      <c r="K34" s="50" t="s">
        <v>1183</v>
      </c>
      <c r="L34" s="50" t="s">
        <v>1184</v>
      </c>
      <c r="M34" s="50" t="s">
        <v>1251</v>
      </c>
      <c r="N34" s="50" t="s">
        <v>1252</v>
      </c>
      <c r="O34" s="50" t="s">
        <v>1253</v>
      </c>
      <c r="P34" s="214" t="s">
        <v>1212</v>
      </c>
      <c r="Q34" s="50"/>
      <c r="R34" s="50" t="s">
        <v>41</v>
      </c>
      <c r="S34" s="50" t="s">
        <v>1188</v>
      </c>
      <c r="T34" s="50">
        <v>90018116</v>
      </c>
      <c r="U34" s="95" t="s">
        <v>1248</v>
      </c>
      <c r="V34" s="95" t="s">
        <v>1249</v>
      </c>
      <c r="W34" s="50" t="s">
        <v>1189</v>
      </c>
      <c r="X34" s="50" t="s">
        <v>1190</v>
      </c>
      <c r="Y34" s="50"/>
      <c r="Z34" s="50">
        <v>3</v>
      </c>
      <c r="AA34" s="50">
        <v>3</v>
      </c>
      <c r="AB34" s="50"/>
      <c r="AC34" s="50"/>
      <c r="AD34" s="50"/>
      <c r="AE34" s="50"/>
      <c r="AF34" s="50"/>
      <c r="AG34" s="92" t="s">
        <v>45</v>
      </c>
      <c r="AH34" s="98" t="s">
        <v>1191</v>
      </c>
      <c r="AI34" s="47">
        <v>46006</v>
      </c>
      <c r="AJ34" s="47">
        <v>46017</v>
      </c>
      <c r="AK34" s="47">
        <v>46008</v>
      </c>
      <c r="AL34" s="156" t="s">
        <v>3</v>
      </c>
    </row>
    <row r="35" spans="1:38" ht="72">
      <c r="A35" s="50" t="s">
        <v>14</v>
      </c>
      <c r="B35" s="50" t="s">
        <v>1178</v>
      </c>
      <c r="C35" s="50" t="s">
        <v>1179</v>
      </c>
      <c r="D35" s="50" t="s">
        <v>1180</v>
      </c>
      <c r="E35" s="50" t="s">
        <v>1181</v>
      </c>
      <c r="F35" s="50">
        <v>1044365</v>
      </c>
      <c r="G35" s="50" t="s">
        <v>1182</v>
      </c>
      <c r="H35" s="50" t="s">
        <v>14</v>
      </c>
      <c r="I35" s="50" t="s">
        <v>36</v>
      </c>
      <c r="J35" s="50" t="s">
        <v>36</v>
      </c>
      <c r="K35" s="50" t="s">
        <v>1183</v>
      </c>
      <c r="L35" s="50" t="s">
        <v>1184</v>
      </c>
      <c r="M35" s="50" t="s">
        <v>1251</v>
      </c>
      <c r="N35" s="50" t="s">
        <v>1252</v>
      </c>
      <c r="O35" s="50" t="s">
        <v>1253</v>
      </c>
      <c r="P35" s="209" t="s">
        <v>1198</v>
      </c>
      <c r="Q35" s="50"/>
      <c r="R35" s="50"/>
      <c r="S35" s="50"/>
      <c r="T35" s="50"/>
      <c r="U35" s="95" t="s">
        <v>1250</v>
      </c>
      <c r="V35" s="95"/>
      <c r="W35" s="50"/>
      <c r="X35" s="50"/>
      <c r="Y35" s="50"/>
      <c r="Z35" s="50"/>
      <c r="AA35" s="50"/>
      <c r="AB35" s="50"/>
      <c r="AC35" s="50"/>
      <c r="AD35" s="50"/>
      <c r="AE35" s="50"/>
      <c r="AF35" s="50"/>
      <c r="AG35" s="92" t="s">
        <v>45</v>
      </c>
      <c r="AH35" s="98" t="s">
        <v>1191</v>
      </c>
      <c r="AI35" s="47">
        <v>46006</v>
      </c>
      <c r="AJ35" s="47">
        <v>46017</v>
      </c>
      <c r="AK35" s="47">
        <v>46385</v>
      </c>
      <c r="AL35" s="156"/>
    </row>
    <row r="36" spans="1:38">
      <c r="A36" s="50" t="s">
        <v>14</v>
      </c>
      <c r="B36" s="50" t="s">
        <v>1178</v>
      </c>
      <c r="C36" s="50" t="s">
        <v>1179</v>
      </c>
      <c r="D36" s="50" t="s">
        <v>1180</v>
      </c>
      <c r="E36" s="50" t="s">
        <v>1181</v>
      </c>
      <c r="F36" s="50">
        <v>1044365</v>
      </c>
      <c r="G36" s="50" t="s">
        <v>1182</v>
      </c>
      <c r="H36" s="50" t="s">
        <v>14</v>
      </c>
      <c r="I36" s="50" t="s">
        <v>36</v>
      </c>
      <c r="J36" s="50" t="s">
        <v>36</v>
      </c>
      <c r="K36" s="50" t="s">
        <v>1183</v>
      </c>
      <c r="L36" s="50" t="s">
        <v>1184</v>
      </c>
      <c r="M36" s="50" t="s">
        <v>1251</v>
      </c>
      <c r="N36" s="50" t="s">
        <v>1252</v>
      </c>
      <c r="O36" s="50" t="s">
        <v>1253</v>
      </c>
      <c r="P36" s="212" t="s">
        <v>1199</v>
      </c>
      <c r="Q36" s="50"/>
      <c r="R36" s="50"/>
      <c r="S36" s="50"/>
      <c r="T36" s="50"/>
      <c r="U36" s="95"/>
      <c r="V36" s="95"/>
      <c r="W36" s="50"/>
      <c r="X36" s="50"/>
      <c r="Y36" s="50"/>
      <c r="Z36" s="50"/>
      <c r="AA36" s="50"/>
      <c r="AB36" s="50"/>
      <c r="AC36" s="50"/>
      <c r="AD36" s="50"/>
      <c r="AE36" s="50"/>
      <c r="AF36" s="50"/>
      <c r="AG36" s="92" t="s">
        <v>45</v>
      </c>
      <c r="AH36" s="98" t="s">
        <v>1191</v>
      </c>
      <c r="AI36" s="47">
        <v>46006</v>
      </c>
      <c r="AJ36" s="47">
        <v>46017</v>
      </c>
      <c r="AK36" s="47">
        <v>46385</v>
      </c>
      <c r="AL36" s="156"/>
    </row>
    <row r="37" spans="1:38" ht="88.5" customHeight="1">
      <c r="A37" s="50" t="s">
        <v>14</v>
      </c>
      <c r="B37" s="50" t="s">
        <v>1178</v>
      </c>
      <c r="C37" s="50" t="s">
        <v>1179</v>
      </c>
      <c r="D37" s="50" t="s">
        <v>1180</v>
      </c>
      <c r="E37" s="50" t="s">
        <v>1181</v>
      </c>
      <c r="F37" s="50">
        <v>1044365</v>
      </c>
      <c r="G37" s="50" t="s">
        <v>1182</v>
      </c>
      <c r="H37" s="50" t="s">
        <v>14</v>
      </c>
      <c r="I37" s="50" t="s">
        <v>36</v>
      </c>
      <c r="J37" s="50" t="s">
        <v>36</v>
      </c>
      <c r="K37" s="50" t="s">
        <v>1183</v>
      </c>
      <c r="L37" s="50" t="s">
        <v>1184</v>
      </c>
      <c r="M37" s="50" t="s">
        <v>1254</v>
      </c>
      <c r="N37" s="50" t="s">
        <v>1255</v>
      </c>
      <c r="O37" s="50" t="s">
        <v>1256</v>
      </c>
      <c r="P37" s="220" t="s">
        <v>1212</v>
      </c>
      <c r="Q37" s="50"/>
      <c r="R37" s="50" t="s">
        <v>41</v>
      </c>
      <c r="S37" s="50" t="s">
        <v>1188</v>
      </c>
      <c r="T37" s="50">
        <v>90018116</v>
      </c>
      <c r="U37" s="95" t="s">
        <v>1257</v>
      </c>
      <c r="V37" s="95" t="s">
        <v>1258</v>
      </c>
      <c r="W37" s="50" t="s">
        <v>1189</v>
      </c>
      <c r="X37" s="50" t="s">
        <v>1190</v>
      </c>
      <c r="Y37" s="50"/>
      <c r="Z37" s="50">
        <v>3</v>
      </c>
      <c r="AA37" s="50">
        <v>3</v>
      </c>
      <c r="AB37" s="50"/>
      <c r="AC37" s="50"/>
      <c r="AD37" s="50"/>
      <c r="AE37" s="50"/>
      <c r="AF37" s="50"/>
      <c r="AG37" s="92" t="s">
        <v>45</v>
      </c>
      <c r="AH37" s="98" t="s">
        <v>1191</v>
      </c>
      <c r="AI37" s="47">
        <v>46006</v>
      </c>
      <c r="AJ37" s="47">
        <v>46017</v>
      </c>
      <c r="AK37" s="47">
        <v>46008</v>
      </c>
      <c r="AL37" s="156" t="s">
        <v>2</v>
      </c>
    </row>
    <row r="38" spans="1:38" ht="82.5" customHeight="1">
      <c r="A38" s="50" t="s">
        <v>14</v>
      </c>
      <c r="B38" s="50" t="s">
        <v>1178</v>
      </c>
      <c r="C38" s="50" t="s">
        <v>1179</v>
      </c>
      <c r="D38" s="50" t="s">
        <v>1180</v>
      </c>
      <c r="E38" s="50" t="s">
        <v>1181</v>
      </c>
      <c r="F38" s="50">
        <v>1044365</v>
      </c>
      <c r="G38" s="50" t="s">
        <v>1182</v>
      </c>
      <c r="H38" s="50" t="s">
        <v>14</v>
      </c>
      <c r="I38" s="50" t="s">
        <v>36</v>
      </c>
      <c r="J38" s="50" t="s">
        <v>36</v>
      </c>
      <c r="K38" s="50" t="s">
        <v>1183</v>
      </c>
      <c r="L38" s="50" t="s">
        <v>1184</v>
      </c>
      <c r="M38" s="50" t="s">
        <v>1254</v>
      </c>
      <c r="N38" s="50" t="s">
        <v>1255</v>
      </c>
      <c r="O38" s="50" t="s">
        <v>1256</v>
      </c>
      <c r="P38" s="222" t="s">
        <v>1198</v>
      </c>
      <c r="Q38" s="50"/>
      <c r="R38" s="50"/>
      <c r="S38" s="50"/>
      <c r="T38" s="50"/>
      <c r="U38" s="218" t="s">
        <v>1259</v>
      </c>
      <c r="V38" s="95"/>
      <c r="W38" s="50"/>
      <c r="X38" s="50"/>
      <c r="Y38" s="50"/>
      <c r="Z38" s="50"/>
      <c r="AA38" s="50"/>
      <c r="AB38" s="50"/>
      <c r="AC38" s="50"/>
      <c r="AD38" s="50"/>
      <c r="AE38" s="50"/>
      <c r="AF38" s="50"/>
      <c r="AG38" s="92" t="s">
        <v>45</v>
      </c>
      <c r="AH38" s="98" t="s">
        <v>1191</v>
      </c>
      <c r="AI38" s="47">
        <v>46006</v>
      </c>
      <c r="AJ38" s="47">
        <v>46017</v>
      </c>
      <c r="AK38" s="47">
        <v>46385</v>
      </c>
      <c r="AL38" s="156"/>
    </row>
    <row r="39" spans="1:38">
      <c r="A39" s="50" t="s">
        <v>14</v>
      </c>
      <c r="B39" s="50" t="s">
        <v>1178</v>
      </c>
      <c r="C39" s="50" t="s">
        <v>1179</v>
      </c>
      <c r="D39" s="50" t="s">
        <v>1180</v>
      </c>
      <c r="E39" s="50" t="s">
        <v>1181</v>
      </c>
      <c r="F39" s="50">
        <v>1044365</v>
      </c>
      <c r="G39" s="50" t="s">
        <v>1182</v>
      </c>
      <c r="H39" s="50" t="s">
        <v>14</v>
      </c>
      <c r="I39" s="50" t="s">
        <v>36</v>
      </c>
      <c r="J39" s="50" t="s">
        <v>36</v>
      </c>
      <c r="K39" s="50" t="s">
        <v>1183</v>
      </c>
      <c r="L39" s="50" t="s">
        <v>1184</v>
      </c>
      <c r="M39" s="50" t="s">
        <v>1254</v>
      </c>
      <c r="N39" s="50" t="s">
        <v>1255</v>
      </c>
      <c r="O39" s="50" t="s">
        <v>1256</v>
      </c>
      <c r="P39" s="223" t="s">
        <v>1199</v>
      </c>
      <c r="Q39" s="50"/>
      <c r="R39" s="50"/>
      <c r="S39" s="50"/>
      <c r="T39" s="50"/>
      <c r="U39" s="95"/>
      <c r="V39" s="95"/>
      <c r="W39" s="50"/>
      <c r="X39" s="50"/>
      <c r="Y39" s="50"/>
      <c r="Z39" s="50"/>
      <c r="AA39" s="50"/>
      <c r="AB39" s="50"/>
      <c r="AC39" s="50"/>
      <c r="AD39" s="50"/>
      <c r="AE39" s="50"/>
      <c r="AF39" s="50"/>
      <c r="AG39" s="92" t="s">
        <v>45</v>
      </c>
      <c r="AH39" s="98" t="s">
        <v>1191</v>
      </c>
      <c r="AI39" s="47">
        <v>46006</v>
      </c>
      <c r="AJ39" s="47">
        <v>46017</v>
      </c>
      <c r="AK39" s="47">
        <v>46385</v>
      </c>
      <c r="AL39" s="156"/>
    </row>
    <row r="40" spans="1:38" ht="31.5" customHeight="1">
      <c r="A40" s="50" t="s">
        <v>14</v>
      </c>
      <c r="B40" s="50" t="s">
        <v>1178</v>
      </c>
      <c r="C40" s="50" t="s">
        <v>1179</v>
      </c>
      <c r="D40" s="50" t="s">
        <v>1180</v>
      </c>
      <c r="E40" s="50" t="s">
        <v>1181</v>
      </c>
      <c r="F40" s="50">
        <v>1044365</v>
      </c>
      <c r="G40" s="50" t="s">
        <v>1182</v>
      </c>
      <c r="H40" s="50" t="s">
        <v>14</v>
      </c>
      <c r="I40" s="50" t="s">
        <v>36</v>
      </c>
      <c r="J40" s="50" t="s">
        <v>36</v>
      </c>
      <c r="K40" s="50" t="s">
        <v>1183</v>
      </c>
      <c r="L40" s="50" t="s">
        <v>1184</v>
      </c>
      <c r="M40" s="50" t="s">
        <v>1260</v>
      </c>
      <c r="N40" s="50" t="s">
        <v>1261</v>
      </c>
      <c r="O40" s="96" t="s">
        <v>1262</v>
      </c>
      <c r="P40" s="220" t="s">
        <v>1212</v>
      </c>
      <c r="Q40" s="50"/>
      <c r="R40" s="50" t="s">
        <v>41</v>
      </c>
      <c r="S40" s="50" t="s">
        <v>1188</v>
      </c>
      <c r="T40" s="50">
        <v>90018116</v>
      </c>
      <c r="U40" s="95" t="s">
        <v>1263</v>
      </c>
      <c r="V40" s="95" t="s">
        <v>1264</v>
      </c>
      <c r="W40" s="50" t="s">
        <v>1189</v>
      </c>
      <c r="X40" s="50" t="s">
        <v>1190</v>
      </c>
      <c r="Y40" s="50"/>
      <c r="Z40" s="50">
        <v>3</v>
      </c>
      <c r="AA40" s="50">
        <v>3</v>
      </c>
      <c r="AB40" s="50"/>
      <c r="AC40" s="50"/>
      <c r="AD40" s="50"/>
      <c r="AE40" s="50"/>
      <c r="AF40" s="50"/>
      <c r="AG40" s="92" t="s">
        <v>45</v>
      </c>
      <c r="AH40" s="98" t="s">
        <v>1191</v>
      </c>
      <c r="AI40" s="47">
        <v>46006</v>
      </c>
      <c r="AJ40" s="47">
        <v>46017</v>
      </c>
      <c r="AK40" s="47">
        <v>46008</v>
      </c>
      <c r="AL40" s="156" t="s">
        <v>3</v>
      </c>
    </row>
    <row r="41" spans="1:38" ht="31.5" customHeight="1">
      <c r="A41" s="50" t="s">
        <v>14</v>
      </c>
      <c r="B41" s="50" t="s">
        <v>1178</v>
      </c>
      <c r="C41" s="50" t="s">
        <v>1179</v>
      </c>
      <c r="D41" s="50" t="s">
        <v>1180</v>
      </c>
      <c r="E41" s="50" t="s">
        <v>1181</v>
      </c>
      <c r="F41" s="50">
        <v>1044365</v>
      </c>
      <c r="G41" s="50" t="s">
        <v>1182</v>
      </c>
      <c r="H41" s="50" t="s">
        <v>14</v>
      </c>
      <c r="I41" s="50" t="s">
        <v>36</v>
      </c>
      <c r="J41" s="50" t="s">
        <v>36</v>
      </c>
      <c r="K41" s="50" t="s">
        <v>1183</v>
      </c>
      <c r="L41" s="50" t="s">
        <v>1184</v>
      </c>
      <c r="M41" s="50" t="s">
        <v>1260</v>
      </c>
      <c r="N41" s="50" t="s">
        <v>1261</v>
      </c>
      <c r="O41" s="96" t="s">
        <v>1262</v>
      </c>
      <c r="P41" s="222" t="s">
        <v>1198</v>
      </c>
      <c r="Q41" s="50"/>
      <c r="R41" s="50"/>
      <c r="S41" s="50"/>
      <c r="T41" s="50"/>
      <c r="U41" s="95" t="s">
        <v>1265</v>
      </c>
      <c r="V41" s="95"/>
      <c r="W41" s="50"/>
      <c r="X41" s="50"/>
      <c r="Y41" s="50"/>
      <c r="Z41" s="50"/>
      <c r="AA41" s="50"/>
      <c r="AB41" s="50"/>
      <c r="AC41" s="50"/>
      <c r="AD41" s="50"/>
      <c r="AE41" s="50"/>
      <c r="AF41" s="50"/>
      <c r="AG41" s="92" t="s">
        <v>45</v>
      </c>
      <c r="AH41" s="98" t="s">
        <v>1191</v>
      </c>
      <c r="AI41" s="47">
        <v>46006</v>
      </c>
      <c r="AJ41" s="47">
        <v>46017</v>
      </c>
      <c r="AK41" s="47">
        <v>46385</v>
      </c>
      <c r="AL41" s="156"/>
    </row>
    <row r="42" spans="1:38" ht="31.5" customHeight="1">
      <c r="A42" s="50" t="s">
        <v>14</v>
      </c>
      <c r="B42" s="50" t="s">
        <v>1178</v>
      </c>
      <c r="C42" s="50" t="s">
        <v>1179</v>
      </c>
      <c r="D42" s="50" t="s">
        <v>1180</v>
      </c>
      <c r="E42" s="50" t="s">
        <v>1181</v>
      </c>
      <c r="F42" s="50">
        <v>1044365</v>
      </c>
      <c r="G42" s="50" t="s">
        <v>1182</v>
      </c>
      <c r="H42" s="50" t="s">
        <v>14</v>
      </c>
      <c r="I42" s="50" t="s">
        <v>36</v>
      </c>
      <c r="J42" s="50" t="s">
        <v>36</v>
      </c>
      <c r="K42" s="50" t="s">
        <v>1183</v>
      </c>
      <c r="L42" s="50" t="s">
        <v>1184</v>
      </c>
      <c r="M42" s="50" t="s">
        <v>1260</v>
      </c>
      <c r="N42" s="50" t="s">
        <v>1261</v>
      </c>
      <c r="O42" s="96" t="s">
        <v>1262</v>
      </c>
      <c r="P42" s="223" t="s">
        <v>1199</v>
      </c>
      <c r="Q42" s="50"/>
      <c r="R42" s="50"/>
      <c r="S42" s="50"/>
      <c r="T42" s="50"/>
      <c r="U42" s="95"/>
      <c r="V42" s="95"/>
      <c r="W42" s="50"/>
      <c r="X42" s="50"/>
      <c r="Y42" s="50"/>
      <c r="Z42" s="50"/>
      <c r="AA42" s="50"/>
      <c r="AB42" s="50"/>
      <c r="AC42" s="50"/>
      <c r="AD42" s="50"/>
      <c r="AE42" s="50"/>
      <c r="AF42" s="50"/>
      <c r="AG42" s="92" t="s">
        <v>45</v>
      </c>
      <c r="AH42" s="98" t="s">
        <v>1191</v>
      </c>
      <c r="AI42" s="47">
        <v>46006</v>
      </c>
      <c r="AJ42" s="47">
        <v>46017</v>
      </c>
      <c r="AK42" s="47">
        <v>46385</v>
      </c>
      <c r="AL42" s="156"/>
    </row>
    <row r="43" spans="1:38" ht="30" customHeight="1">
      <c r="A43" s="50" t="s">
        <v>14</v>
      </c>
      <c r="B43" s="50" t="s">
        <v>1178</v>
      </c>
      <c r="C43" s="50" t="s">
        <v>1179</v>
      </c>
      <c r="D43" s="50" t="s">
        <v>1180</v>
      </c>
      <c r="E43" s="50" t="s">
        <v>1181</v>
      </c>
      <c r="F43" s="50">
        <v>1044365</v>
      </c>
      <c r="G43" s="50" t="s">
        <v>1182</v>
      </c>
      <c r="H43" s="50" t="s">
        <v>14</v>
      </c>
      <c r="I43" s="50" t="s">
        <v>36</v>
      </c>
      <c r="J43" s="50" t="s">
        <v>36</v>
      </c>
      <c r="K43" s="50" t="s">
        <v>1183</v>
      </c>
      <c r="L43" s="50" t="s">
        <v>1184</v>
      </c>
      <c r="M43" s="50" t="s">
        <v>1266</v>
      </c>
      <c r="N43" s="50" t="s">
        <v>1267</v>
      </c>
      <c r="O43" s="50" t="s">
        <v>1268</v>
      </c>
      <c r="P43" s="220" t="s">
        <v>1212</v>
      </c>
      <c r="Q43" s="50"/>
      <c r="R43" s="50" t="s">
        <v>41</v>
      </c>
      <c r="S43" s="50" t="s">
        <v>1188</v>
      </c>
      <c r="T43" s="50">
        <v>90018116</v>
      </c>
      <c r="U43" s="95" t="s">
        <v>1269</v>
      </c>
      <c r="V43" s="95" t="s">
        <v>1270</v>
      </c>
      <c r="W43" s="50" t="s">
        <v>1189</v>
      </c>
      <c r="X43" s="50" t="s">
        <v>1190</v>
      </c>
      <c r="Y43" s="50"/>
      <c r="Z43" s="50">
        <v>3</v>
      </c>
      <c r="AA43" s="50">
        <v>3</v>
      </c>
      <c r="AB43" s="50"/>
      <c r="AC43" s="50"/>
      <c r="AD43" s="50"/>
      <c r="AE43" s="50"/>
      <c r="AF43" s="50"/>
      <c r="AG43" s="92" t="s">
        <v>45</v>
      </c>
      <c r="AH43" s="98" t="s">
        <v>1191</v>
      </c>
      <c r="AI43" s="47">
        <v>46006</v>
      </c>
      <c r="AJ43" s="47">
        <v>46017</v>
      </c>
      <c r="AK43" s="47">
        <v>46008</v>
      </c>
      <c r="AL43" s="156" t="s">
        <v>3</v>
      </c>
    </row>
    <row r="44" spans="1:38" ht="30" customHeight="1">
      <c r="A44" s="50" t="s">
        <v>14</v>
      </c>
      <c r="B44" s="50" t="s">
        <v>1178</v>
      </c>
      <c r="C44" s="50" t="s">
        <v>1179</v>
      </c>
      <c r="D44" s="50" t="s">
        <v>1180</v>
      </c>
      <c r="E44" s="50" t="s">
        <v>1181</v>
      </c>
      <c r="F44" s="50">
        <v>1044365</v>
      </c>
      <c r="G44" s="50" t="s">
        <v>1182</v>
      </c>
      <c r="H44" s="50" t="s">
        <v>14</v>
      </c>
      <c r="I44" s="50" t="s">
        <v>36</v>
      </c>
      <c r="J44" s="50" t="s">
        <v>36</v>
      </c>
      <c r="K44" s="50" t="s">
        <v>1183</v>
      </c>
      <c r="L44" s="50" t="s">
        <v>1184</v>
      </c>
      <c r="M44" s="50" t="s">
        <v>1266</v>
      </c>
      <c r="N44" s="50" t="s">
        <v>1267</v>
      </c>
      <c r="O44" s="50" t="s">
        <v>1268</v>
      </c>
      <c r="P44" s="209" t="s">
        <v>1198</v>
      </c>
      <c r="Q44" s="50"/>
      <c r="R44" s="50"/>
      <c r="S44" s="50"/>
      <c r="T44" s="50"/>
      <c r="U44" s="95" t="s">
        <v>1271</v>
      </c>
      <c r="V44" s="95"/>
      <c r="W44" s="50"/>
      <c r="X44" s="50"/>
      <c r="Y44" s="50"/>
      <c r="Z44" s="50"/>
      <c r="AA44" s="50"/>
      <c r="AB44" s="50"/>
      <c r="AC44" s="50"/>
      <c r="AD44" s="50"/>
      <c r="AE44" s="50"/>
      <c r="AF44" s="50"/>
      <c r="AG44" s="92" t="s">
        <v>45</v>
      </c>
      <c r="AH44" s="98" t="s">
        <v>1191</v>
      </c>
      <c r="AI44" s="47">
        <v>46006</v>
      </c>
      <c r="AJ44" s="47">
        <v>46017</v>
      </c>
      <c r="AK44" s="47">
        <v>46385</v>
      </c>
      <c r="AL44" s="156"/>
    </row>
    <row r="45" spans="1:38" ht="30" customHeight="1">
      <c r="A45" s="50" t="s">
        <v>14</v>
      </c>
      <c r="B45" s="50" t="s">
        <v>1178</v>
      </c>
      <c r="C45" s="50" t="s">
        <v>1179</v>
      </c>
      <c r="D45" s="50" t="s">
        <v>1180</v>
      </c>
      <c r="E45" s="50" t="s">
        <v>1181</v>
      </c>
      <c r="F45" s="50">
        <v>1044365</v>
      </c>
      <c r="G45" s="50" t="s">
        <v>1182</v>
      </c>
      <c r="H45" s="50" t="s">
        <v>14</v>
      </c>
      <c r="I45" s="50" t="s">
        <v>36</v>
      </c>
      <c r="J45" s="50" t="s">
        <v>36</v>
      </c>
      <c r="K45" s="50" t="s">
        <v>1183</v>
      </c>
      <c r="L45" s="50" t="s">
        <v>1184</v>
      </c>
      <c r="M45" s="50" t="s">
        <v>1266</v>
      </c>
      <c r="N45" s="50" t="s">
        <v>1267</v>
      </c>
      <c r="O45" s="50" t="s">
        <v>1268</v>
      </c>
      <c r="P45" s="212" t="s">
        <v>1199</v>
      </c>
      <c r="Q45" s="50"/>
      <c r="R45" s="50"/>
      <c r="S45" s="50"/>
      <c r="T45" s="50"/>
      <c r="U45" s="95"/>
      <c r="V45" s="95"/>
      <c r="W45" s="50"/>
      <c r="X45" s="50"/>
      <c r="Y45" s="50"/>
      <c r="Z45" s="50"/>
      <c r="AA45" s="50"/>
      <c r="AB45" s="50"/>
      <c r="AC45" s="50"/>
      <c r="AD45" s="50"/>
      <c r="AE45" s="50"/>
      <c r="AF45" s="50"/>
      <c r="AG45" s="92" t="s">
        <v>45</v>
      </c>
      <c r="AH45" s="98" t="s">
        <v>1191</v>
      </c>
      <c r="AI45" s="47">
        <v>46006</v>
      </c>
      <c r="AJ45" s="47">
        <v>46017</v>
      </c>
      <c r="AK45" s="47">
        <v>46385</v>
      </c>
      <c r="AL45" s="156"/>
    </row>
    <row r="46" spans="1:38" ht="57.75">
      <c r="A46" s="50" t="s">
        <v>14</v>
      </c>
      <c r="B46" s="50" t="s">
        <v>1178</v>
      </c>
      <c r="C46" s="50" t="s">
        <v>1179</v>
      </c>
      <c r="D46" s="50" t="s">
        <v>1180</v>
      </c>
      <c r="E46" s="50" t="s">
        <v>1181</v>
      </c>
      <c r="F46" s="50">
        <v>1044365</v>
      </c>
      <c r="G46" s="50" t="s">
        <v>1182</v>
      </c>
      <c r="H46" s="50" t="s">
        <v>14</v>
      </c>
      <c r="I46" s="50" t="s">
        <v>36</v>
      </c>
      <c r="J46" s="50" t="s">
        <v>36</v>
      </c>
      <c r="K46" s="50" t="s">
        <v>1183</v>
      </c>
      <c r="L46" s="50" t="s">
        <v>1184</v>
      </c>
      <c r="M46" s="50" t="s">
        <v>1272</v>
      </c>
      <c r="N46" s="50" t="s">
        <v>1273</v>
      </c>
      <c r="O46" s="50" t="s">
        <v>1274</v>
      </c>
      <c r="P46" s="214" t="s">
        <v>1212</v>
      </c>
      <c r="Q46" s="50"/>
      <c r="R46" s="50" t="s">
        <v>41</v>
      </c>
      <c r="S46" s="50" t="s">
        <v>1188</v>
      </c>
      <c r="T46" s="50">
        <v>90018116</v>
      </c>
      <c r="U46" s="95" t="s">
        <v>1275</v>
      </c>
      <c r="V46" s="95" t="s">
        <v>1276</v>
      </c>
      <c r="W46" s="50" t="s">
        <v>1189</v>
      </c>
      <c r="X46" s="50" t="s">
        <v>1190</v>
      </c>
      <c r="Y46" s="50"/>
      <c r="Z46" s="50">
        <v>3</v>
      </c>
      <c r="AA46" s="50">
        <v>3</v>
      </c>
      <c r="AB46" s="50"/>
      <c r="AC46" s="50"/>
      <c r="AD46" s="50"/>
      <c r="AE46" s="50"/>
      <c r="AF46" s="50"/>
      <c r="AG46" s="92" t="s">
        <v>45</v>
      </c>
      <c r="AH46" s="98" t="s">
        <v>1191</v>
      </c>
      <c r="AI46" s="47">
        <v>46006</v>
      </c>
      <c r="AJ46" s="47">
        <v>46017</v>
      </c>
      <c r="AK46" s="47">
        <v>46008</v>
      </c>
      <c r="AL46" s="156" t="s">
        <v>2</v>
      </c>
    </row>
    <row r="47" spans="1:38" ht="51" customHeight="1">
      <c r="A47" s="50" t="s">
        <v>14</v>
      </c>
      <c r="B47" s="50" t="s">
        <v>1178</v>
      </c>
      <c r="C47" s="50" t="s">
        <v>1179</v>
      </c>
      <c r="D47" s="50" t="s">
        <v>1180</v>
      </c>
      <c r="E47" s="50" t="s">
        <v>1181</v>
      </c>
      <c r="F47" s="50">
        <v>1044365</v>
      </c>
      <c r="G47" s="50" t="s">
        <v>1182</v>
      </c>
      <c r="H47" s="50" t="s">
        <v>14</v>
      </c>
      <c r="I47" s="50" t="s">
        <v>36</v>
      </c>
      <c r="J47" s="50" t="s">
        <v>36</v>
      </c>
      <c r="K47" s="50" t="s">
        <v>1183</v>
      </c>
      <c r="L47" s="50" t="s">
        <v>1184</v>
      </c>
      <c r="M47" s="50" t="s">
        <v>1272</v>
      </c>
      <c r="N47" s="50" t="s">
        <v>1273</v>
      </c>
      <c r="O47" s="50" t="s">
        <v>1274</v>
      </c>
      <c r="P47" s="209" t="s">
        <v>1198</v>
      </c>
      <c r="Q47" s="50"/>
      <c r="R47" s="50"/>
      <c r="S47" s="50"/>
      <c r="T47" s="50"/>
      <c r="U47" s="95" t="s">
        <v>1277</v>
      </c>
      <c r="V47" s="95"/>
      <c r="W47" s="50"/>
      <c r="X47" s="50"/>
      <c r="Y47" s="50"/>
      <c r="Z47" s="50"/>
      <c r="AA47" s="50"/>
      <c r="AB47" s="50"/>
      <c r="AC47" s="50"/>
      <c r="AD47" s="50"/>
      <c r="AE47" s="50"/>
      <c r="AF47" s="50"/>
      <c r="AG47" s="92" t="s">
        <v>45</v>
      </c>
      <c r="AH47" s="98" t="s">
        <v>1191</v>
      </c>
      <c r="AI47" s="47">
        <v>46006</v>
      </c>
      <c r="AJ47" s="47">
        <v>46017</v>
      </c>
      <c r="AK47" s="47">
        <v>46385</v>
      </c>
      <c r="AL47" s="156"/>
    </row>
    <row r="48" spans="1:38">
      <c r="A48" s="50" t="s">
        <v>14</v>
      </c>
      <c r="B48" s="50" t="s">
        <v>1178</v>
      </c>
      <c r="C48" s="50" t="s">
        <v>1179</v>
      </c>
      <c r="D48" s="50" t="s">
        <v>1180</v>
      </c>
      <c r="E48" s="50" t="s">
        <v>1181</v>
      </c>
      <c r="F48" s="50">
        <v>1044365</v>
      </c>
      <c r="G48" s="50" t="s">
        <v>1182</v>
      </c>
      <c r="H48" s="50" t="s">
        <v>14</v>
      </c>
      <c r="I48" s="50" t="s">
        <v>36</v>
      </c>
      <c r="J48" s="50" t="s">
        <v>36</v>
      </c>
      <c r="K48" s="50" t="s">
        <v>1183</v>
      </c>
      <c r="L48" s="50" t="s">
        <v>1184</v>
      </c>
      <c r="M48" s="50" t="s">
        <v>1272</v>
      </c>
      <c r="N48" s="50" t="s">
        <v>1273</v>
      </c>
      <c r="O48" s="50" t="s">
        <v>1274</v>
      </c>
      <c r="P48" s="212" t="s">
        <v>1199</v>
      </c>
      <c r="Q48" s="50"/>
      <c r="R48" s="50"/>
      <c r="S48" s="50"/>
      <c r="T48" s="50"/>
      <c r="U48" s="95"/>
      <c r="V48" s="95"/>
      <c r="W48" s="50"/>
      <c r="X48" s="50"/>
      <c r="Y48" s="50"/>
      <c r="Z48" s="50"/>
      <c r="AA48" s="50"/>
      <c r="AB48" s="50"/>
      <c r="AC48" s="50"/>
      <c r="AD48" s="50"/>
      <c r="AE48" s="50"/>
      <c r="AF48" s="50"/>
      <c r="AG48" s="92" t="s">
        <v>45</v>
      </c>
      <c r="AH48" s="98" t="s">
        <v>1191</v>
      </c>
      <c r="AI48" s="47">
        <v>46006</v>
      </c>
      <c r="AJ48" s="47">
        <v>46017</v>
      </c>
      <c r="AK48" s="47">
        <v>46385</v>
      </c>
      <c r="AL48" s="156"/>
    </row>
    <row r="49" spans="1:39" ht="59.25" customHeight="1">
      <c r="A49" s="50" t="s">
        <v>14</v>
      </c>
      <c r="B49" s="50" t="s">
        <v>1178</v>
      </c>
      <c r="C49" s="50" t="s">
        <v>1179</v>
      </c>
      <c r="D49" s="50" t="s">
        <v>1180</v>
      </c>
      <c r="E49" s="50" t="s">
        <v>1181</v>
      </c>
      <c r="F49" s="50">
        <v>1044365</v>
      </c>
      <c r="G49" s="50" t="s">
        <v>1182</v>
      </c>
      <c r="H49" s="50" t="s">
        <v>14</v>
      </c>
      <c r="I49" s="50" t="s">
        <v>36</v>
      </c>
      <c r="J49" s="50" t="s">
        <v>36</v>
      </c>
      <c r="K49" s="50" t="s">
        <v>1183</v>
      </c>
      <c r="L49" s="50" t="s">
        <v>1184</v>
      </c>
      <c r="M49" s="50" t="s">
        <v>1278</v>
      </c>
      <c r="N49" s="50" t="s">
        <v>1279</v>
      </c>
      <c r="O49" s="50" t="s">
        <v>1280</v>
      </c>
      <c r="P49" s="214" t="s">
        <v>1212</v>
      </c>
      <c r="Q49" s="50"/>
      <c r="R49" s="50" t="s">
        <v>41</v>
      </c>
      <c r="S49" s="50" t="s">
        <v>1188</v>
      </c>
      <c r="T49" s="50">
        <v>90018116</v>
      </c>
      <c r="U49" s="95" t="s">
        <v>1281</v>
      </c>
      <c r="V49" s="95" t="s">
        <v>1282</v>
      </c>
      <c r="W49" s="50" t="s">
        <v>1189</v>
      </c>
      <c r="X49" s="50" t="s">
        <v>1190</v>
      </c>
      <c r="Y49" s="50"/>
      <c r="Z49" s="50">
        <v>3</v>
      </c>
      <c r="AA49" s="50">
        <v>3</v>
      </c>
      <c r="AB49" s="50"/>
      <c r="AC49" s="50"/>
      <c r="AD49" s="50"/>
      <c r="AE49" s="50"/>
      <c r="AF49" s="50"/>
      <c r="AG49" s="92" t="s">
        <v>45</v>
      </c>
      <c r="AH49" s="98" t="s">
        <v>1191</v>
      </c>
      <c r="AI49" s="47">
        <v>46006</v>
      </c>
      <c r="AJ49" s="47">
        <v>46017</v>
      </c>
      <c r="AK49" s="47">
        <v>46008</v>
      </c>
      <c r="AL49" s="156" t="s">
        <v>2</v>
      </c>
    </row>
    <row r="50" spans="1:39" ht="50.25" customHeight="1">
      <c r="A50" s="50" t="s">
        <v>14</v>
      </c>
      <c r="B50" s="50" t="s">
        <v>1178</v>
      </c>
      <c r="C50" s="50" t="s">
        <v>1179</v>
      </c>
      <c r="D50" s="50" t="s">
        <v>1180</v>
      </c>
      <c r="E50" s="50" t="s">
        <v>1181</v>
      </c>
      <c r="F50" s="50">
        <v>1044365</v>
      </c>
      <c r="G50" s="50" t="s">
        <v>1182</v>
      </c>
      <c r="H50" s="50" t="s">
        <v>14</v>
      </c>
      <c r="I50" s="50" t="s">
        <v>36</v>
      </c>
      <c r="J50" s="50" t="s">
        <v>36</v>
      </c>
      <c r="K50" s="50" t="s">
        <v>1183</v>
      </c>
      <c r="L50" s="50" t="s">
        <v>1184</v>
      </c>
      <c r="M50" s="50" t="s">
        <v>1278</v>
      </c>
      <c r="N50" s="50" t="s">
        <v>1279</v>
      </c>
      <c r="O50" s="50" t="s">
        <v>1280</v>
      </c>
      <c r="P50" s="209" t="s">
        <v>1198</v>
      </c>
      <c r="Q50" s="50"/>
      <c r="R50" s="50"/>
      <c r="S50" s="50"/>
      <c r="T50" s="50"/>
      <c r="U50" s="95" t="s">
        <v>1283</v>
      </c>
      <c r="V50" s="95"/>
      <c r="W50" s="50"/>
      <c r="X50" s="50"/>
      <c r="Y50" s="50"/>
      <c r="Z50" s="50"/>
      <c r="AA50" s="50"/>
      <c r="AB50" s="50"/>
      <c r="AC50" s="50"/>
      <c r="AD50" s="50"/>
      <c r="AE50" s="50"/>
      <c r="AF50" s="50"/>
      <c r="AG50" s="92" t="s">
        <v>45</v>
      </c>
      <c r="AH50" s="98" t="s">
        <v>1191</v>
      </c>
      <c r="AI50" s="47">
        <v>46006</v>
      </c>
      <c r="AJ50" s="47">
        <v>46017</v>
      </c>
      <c r="AK50" s="47">
        <v>46385</v>
      </c>
      <c r="AL50" s="156"/>
    </row>
    <row r="51" spans="1:39">
      <c r="A51" s="50" t="s">
        <v>14</v>
      </c>
      <c r="B51" s="50" t="s">
        <v>1178</v>
      </c>
      <c r="C51" s="50" t="s">
        <v>1179</v>
      </c>
      <c r="D51" s="50" t="s">
        <v>1180</v>
      </c>
      <c r="E51" s="50" t="s">
        <v>1181</v>
      </c>
      <c r="F51" s="50">
        <v>1044365</v>
      </c>
      <c r="G51" s="50" t="s">
        <v>1182</v>
      </c>
      <c r="H51" s="50" t="s">
        <v>14</v>
      </c>
      <c r="I51" s="50" t="s">
        <v>36</v>
      </c>
      <c r="J51" s="50" t="s">
        <v>36</v>
      </c>
      <c r="K51" s="50" t="s">
        <v>1183</v>
      </c>
      <c r="L51" s="50" t="s">
        <v>1184</v>
      </c>
      <c r="M51" s="50" t="s">
        <v>1278</v>
      </c>
      <c r="N51" s="50" t="s">
        <v>1279</v>
      </c>
      <c r="O51" s="50" t="s">
        <v>1280</v>
      </c>
      <c r="P51" s="212" t="s">
        <v>1199</v>
      </c>
      <c r="Q51" s="50"/>
      <c r="R51" s="50"/>
      <c r="S51" s="50"/>
      <c r="T51" s="50"/>
      <c r="U51" s="95"/>
      <c r="V51" s="95"/>
      <c r="W51" s="50"/>
      <c r="X51" s="50"/>
      <c r="Y51" s="50"/>
      <c r="Z51" s="50"/>
      <c r="AA51" s="50"/>
      <c r="AB51" s="50"/>
      <c r="AC51" s="50"/>
      <c r="AD51" s="50"/>
      <c r="AE51" s="50"/>
      <c r="AF51" s="50"/>
      <c r="AG51" s="92" t="s">
        <v>45</v>
      </c>
      <c r="AH51" s="98" t="s">
        <v>1191</v>
      </c>
      <c r="AI51" s="47">
        <v>46006</v>
      </c>
      <c r="AJ51" s="47">
        <v>46017</v>
      </c>
      <c r="AK51" s="47">
        <v>46385</v>
      </c>
      <c r="AL51" s="156"/>
    </row>
    <row r="52" spans="1:39" ht="27" customHeight="1">
      <c r="A52" s="50" t="s">
        <v>14</v>
      </c>
      <c r="B52" s="50" t="s">
        <v>1178</v>
      </c>
      <c r="C52" s="50" t="s">
        <v>1179</v>
      </c>
      <c r="D52" s="50" t="s">
        <v>1180</v>
      </c>
      <c r="E52" s="50" t="s">
        <v>1181</v>
      </c>
      <c r="F52" s="50">
        <v>1044365</v>
      </c>
      <c r="G52" s="50" t="s">
        <v>1182</v>
      </c>
      <c r="H52" s="50" t="s">
        <v>14</v>
      </c>
      <c r="I52" s="50" t="s">
        <v>36</v>
      </c>
      <c r="J52" s="50" t="s">
        <v>36</v>
      </c>
      <c r="K52" s="50" t="s">
        <v>1183</v>
      </c>
      <c r="L52" s="50" t="s">
        <v>1184</v>
      </c>
      <c r="M52" s="50" t="s">
        <v>1284</v>
      </c>
      <c r="N52" s="50" t="s">
        <v>1285</v>
      </c>
      <c r="O52" s="50" t="s">
        <v>1286</v>
      </c>
      <c r="P52" s="214" t="s">
        <v>1212</v>
      </c>
      <c r="Q52" s="50"/>
      <c r="R52" s="50" t="s">
        <v>41</v>
      </c>
      <c r="S52" s="50" t="s">
        <v>1188</v>
      </c>
      <c r="T52" s="50">
        <v>90018116</v>
      </c>
      <c r="U52" s="95" t="s">
        <v>1269</v>
      </c>
      <c r="V52" s="95" t="s">
        <v>1270</v>
      </c>
      <c r="W52" s="50" t="s">
        <v>1189</v>
      </c>
      <c r="X52" s="50" t="s">
        <v>1190</v>
      </c>
      <c r="Y52" s="50"/>
      <c r="Z52" s="50">
        <v>3</v>
      </c>
      <c r="AA52" s="50">
        <v>3</v>
      </c>
      <c r="AB52" s="50"/>
      <c r="AC52" s="50"/>
      <c r="AD52" s="50"/>
      <c r="AE52" s="50"/>
      <c r="AF52" s="50"/>
      <c r="AG52" s="92" t="s">
        <v>45</v>
      </c>
      <c r="AH52" s="98" t="s">
        <v>1191</v>
      </c>
      <c r="AI52" s="47">
        <v>46006</v>
      </c>
      <c r="AJ52" s="47">
        <v>46017</v>
      </c>
      <c r="AK52" s="47">
        <v>46008</v>
      </c>
      <c r="AL52" s="156" t="s">
        <v>2</v>
      </c>
    </row>
    <row r="53" spans="1:39" ht="27" customHeight="1">
      <c r="A53" s="50" t="s">
        <v>14</v>
      </c>
      <c r="B53" s="50" t="s">
        <v>1178</v>
      </c>
      <c r="C53" s="50" t="s">
        <v>1179</v>
      </c>
      <c r="D53" s="50" t="s">
        <v>1180</v>
      </c>
      <c r="E53" s="50" t="s">
        <v>1181</v>
      </c>
      <c r="F53" s="50">
        <v>1044365</v>
      </c>
      <c r="G53" s="50" t="s">
        <v>1182</v>
      </c>
      <c r="H53" s="50" t="s">
        <v>14</v>
      </c>
      <c r="I53" s="50" t="s">
        <v>36</v>
      </c>
      <c r="J53" s="50" t="s">
        <v>36</v>
      </c>
      <c r="K53" s="50" t="s">
        <v>1183</v>
      </c>
      <c r="L53" s="50" t="s">
        <v>1184</v>
      </c>
      <c r="M53" s="50" t="s">
        <v>1284</v>
      </c>
      <c r="N53" s="50" t="s">
        <v>1285</v>
      </c>
      <c r="O53" s="50" t="s">
        <v>1286</v>
      </c>
      <c r="P53" s="222" t="s">
        <v>1198</v>
      </c>
      <c r="Q53" s="50"/>
      <c r="R53" s="50"/>
      <c r="S53" s="50"/>
      <c r="T53" s="50"/>
      <c r="U53" s="95" t="s">
        <v>1271</v>
      </c>
      <c r="V53" s="95"/>
      <c r="W53" s="50"/>
      <c r="X53" s="50"/>
      <c r="Y53" s="50"/>
      <c r="Z53" s="50"/>
      <c r="AA53" s="50"/>
      <c r="AB53" s="50"/>
      <c r="AC53" s="50"/>
      <c r="AD53" s="50"/>
      <c r="AE53" s="50"/>
      <c r="AF53" s="50"/>
      <c r="AG53" s="92" t="s">
        <v>45</v>
      </c>
      <c r="AH53" s="98" t="s">
        <v>1191</v>
      </c>
      <c r="AI53" s="47">
        <v>46006</v>
      </c>
      <c r="AJ53" s="47">
        <v>46017</v>
      </c>
      <c r="AK53" s="47">
        <v>46385</v>
      </c>
      <c r="AL53" s="156"/>
    </row>
    <row r="54" spans="1:39" ht="27" customHeight="1">
      <c r="A54" s="50" t="s">
        <v>14</v>
      </c>
      <c r="B54" s="50" t="s">
        <v>1178</v>
      </c>
      <c r="C54" s="50" t="s">
        <v>1179</v>
      </c>
      <c r="D54" s="50" t="s">
        <v>1180</v>
      </c>
      <c r="E54" s="50" t="s">
        <v>1181</v>
      </c>
      <c r="F54" s="50">
        <v>1044365</v>
      </c>
      <c r="G54" s="50" t="s">
        <v>1182</v>
      </c>
      <c r="H54" s="50" t="s">
        <v>14</v>
      </c>
      <c r="I54" s="50" t="s">
        <v>36</v>
      </c>
      <c r="J54" s="50" t="s">
        <v>36</v>
      </c>
      <c r="K54" s="50" t="s">
        <v>1183</v>
      </c>
      <c r="L54" s="50" t="s">
        <v>1184</v>
      </c>
      <c r="M54" s="50" t="s">
        <v>1284</v>
      </c>
      <c r="N54" s="50" t="s">
        <v>1285</v>
      </c>
      <c r="O54" s="50" t="s">
        <v>1286</v>
      </c>
      <c r="P54" s="223" t="s">
        <v>1199</v>
      </c>
      <c r="Q54" s="50"/>
      <c r="R54" s="50"/>
      <c r="S54" s="50"/>
      <c r="T54" s="50"/>
      <c r="U54" s="95"/>
      <c r="V54" s="95"/>
      <c r="W54" s="50"/>
      <c r="X54" s="50"/>
      <c r="Y54" s="50"/>
      <c r="Z54" s="50"/>
      <c r="AA54" s="50"/>
      <c r="AB54" s="50"/>
      <c r="AC54" s="50"/>
      <c r="AD54" s="50"/>
      <c r="AE54" s="50"/>
      <c r="AF54" s="50"/>
      <c r="AG54" s="92" t="s">
        <v>45</v>
      </c>
      <c r="AH54" s="98" t="s">
        <v>1191</v>
      </c>
      <c r="AI54" s="47">
        <v>46006</v>
      </c>
      <c r="AJ54" s="47">
        <v>46017</v>
      </c>
      <c r="AK54" s="47">
        <v>46385</v>
      </c>
      <c r="AL54" s="156"/>
    </row>
    <row r="55" spans="1:39" s="99" customFormat="1" ht="118.5" customHeight="1">
      <c r="A55" s="50" t="s">
        <v>14</v>
      </c>
      <c r="B55" s="50" t="s">
        <v>1178</v>
      </c>
      <c r="C55" s="50" t="s">
        <v>1179</v>
      </c>
      <c r="D55" s="50" t="s">
        <v>1180</v>
      </c>
      <c r="E55" s="50" t="s">
        <v>1181</v>
      </c>
      <c r="F55" s="50">
        <v>1044365</v>
      </c>
      <c r="G55" s="50" t="s">
        <v>1182</v>
      </c>
      <c r="H55" s="50" t="s">
        <v>14</v>
      </c>
      <c r="I55" s="50" t="s">
        <v>36</v>
      </c>
      <c r="J55" s="50" t="s">
        <v>36</v>
      </c>
      <c r="K55" s="50" t="s">
        <v>1183</v>
      </c>
      <c r="L55" s="50" t="s">
        <v>1184</v>
      </c>
      <c r="M55" s="96" t="s">
        <v>1287</v>
      </c>
      <c r="N55" s="97" t="s">
        <v>1288</v>
      </c>
      <c r="O55" s="97" t="s">
        <v>1289</v>
      </c>
      <c r="P55" s="220" t="s">
        <v>1212</v>
      </c>
      <c r="Q55" s="50"/>
      <c r="R55" s="50" t="s">
        <v>41</v>
      </c>
      <c r="S55" s="50" t="s">
        <v>1188</v>
      </c>
      <c r="T55" s="50">
        <v>90018116</v>
      </c>
      <c r="U55" s="50" t="s">
        <v>1290</v>
      </c>
      <c r="V55" s="50" t="s">
        <v>1291</v>
      </c>
      <c r="W55" s="50" t="s">
        <v>1189</v>
      </c>
      <c r="X55" s="50" t="s">
        <v>1190</v>
      </c>
      <c r="Y55" s="50"/>
      <c r="Z55" s="50">
        <v>3</v>
      </c>
      <c r="AA55" s="50">
        <v>3</v>
      </c>
      <c r="AB55" s="50"/>
      <c r="AC55" s="50"/>
      <c r="AD55" s="50"/>
      <c r="AE55" s="50"/>
      <c r="AF55" s="50"/>
      <c r="AG55" s="92" t="s">
        <v>45</v>
      </c>
      <c r="AH55" s="98" t="s">
        <v>1191</v>
      </c>
      <c r="AI55" s="47">
        <v>46006</v>
      </c>
      <c r="AJ55" s="47">
        <v>46017</v>
      </c>
      <c r="AK55" s="47">
        <v>46008</v>
      </c>
      <c r="AL55" s="156" t="s">
        <v>2</v>
      </c>
    </row>
    <row r="56" spans="1:39" s="99" customFormat="1" ht="106.5" customHeight="1">
      <c r="A56" s="50" t="s">
        <v>14</v>
      </c>
      <c r="B56" s="50" t="s">
        <v>1178</v>
      </c>
      <c r="C56" s="50" t="s">
        <v>1179</v>
      </c>
      <c r="D56" s="50" t="s">
        <v>1180</v>
      </c>
      <c r="E56" s="50" t="s">
        <v>1181</v>
      </c>
      <c r="F56" s="50">
        <v>1044365</v>
      </c>
      <c r="G56" s="50" t="s">
        <v>1182</v>
      </c>
      <c r="H56" s="50" t="s">
        <v>14</v>
      </c>
      <c r="I56" s="50" t="s">
        <v>36</v>
      </c>
      <c r="J56" s="50" t="s">
        <v>36</v>
      </c>
      <c r="K56" s="50" t="s">
        <v>1183</v>
      </c>
      <c r="L56" s="50" t="s">
        <v>1184</v>
      </c>
      <c r="M56" s="96" t="s">
        <v>1287</v>
      </c>
      <c r="N56" s="97" t="s">
        <v>1288</v>
      </c>
      <c r="O56" s="97" t="s">
        <v>1289</v>
      </c>
      <c r="P56" s="222" t="s">
        <v>1198</v>
      </c>
      <c r="Q56" s="204"/>
      <c r="R56" s="204"/>
      <c r="S56" s="204"/>
      <c r="T56" s="204"/>
      <c r="U56" s="95" t="s">
        <v>1292</v>
      </c>
      <c r="V56" s="95"/>
      <c r="W56" s="50"/>
      <c r="X56" s="50"/>
      <c r="Y56" s="50"/>
      <c r="Z56" s="50"/>
      <c r="AA56" s="50"/>
      <c r="AB56" s="50"/>
      <c r="AC56" s="50"/>
      <c r="AD56" s="50"/>
      <c r="AE56" s="50"/>
      <c r="AF56" s="50"/>
      <c r="AG56" s="92" t="s">
        <v>45</v>
      </c>
      <c r="AH56" s="98" t="s">
        <v>1191</v>
      </c>
      <c r="AI56" s="47">
        <v>46006</v>
      </c>
      <c r="AJ56" s="47">
        <v>46017</v>
      </c>
      <c r="AK56" s="47">
        <v>46385</v>
      </c>
      <c r="AL56" s="156"/>
    </row>
    <row r="57" spans="1:39" s="99" customFormat="1">
      <c r="A57" s="50" t="s">
        <v>14</v>
      </c>
      <c r="B57" s="50" t="s">
        <v>1178</v>
      </c>
      <c r="C57" s="50" t="s">
        <v>1179</v>
      </c>
      <c r="D57" s="50" t="s">
        <v>1180</v>
      </c>
      <c r="E57" s="50" t="s">
        <v>1181</v>
      </c>
      <c r="F57" s="50">
        <v>1044365</v>
      </c>
      <c r="G57" s="50" t="s">
        <v>1182</v>
      </c>
      <c r="H57" s="50" t="s">
        <v>14</v>
      </c>
      <c r="I57" s="50" t="s">
        <v>36</v>
      </c>
      <c r="J57" s="50" t="s">
        <v>36</v>
      </c>
      <c r="K57" s="50" t="s">
        <v>1183</v>
      </c>
      <c r="L57" s="50" t="s">
        <v>1184</v>
      </c>
      <c r="M57" s="96" t="s">
        <v>1287</v>
      </c>
      <c r="N57" s="97" t="s">
        <v>1288</v>
      </c>
      <c r="O57" s="97" t="s">
        <v>1289</v>
      </c>
      <c r="P57" s="223" t="s">
        <v>1199</v>
      </c>
      <c r="Q57" s="204"/>
      <c r="R57" s="204"/>
      <c r="S57" s="204"/>
      <c r="T57" s="204"/>
      <c r="U57" s="95"/>
      <c r="V57" s="95"/>
      <c r="W57" s="50"/>
      <c r="X57" s="50"/>
      <c r="Y57" s="50"/>
      <c r="Z57" s="50"/>
      <c r="AA57" s="50"/>
      <c r="AB57" s="50"/>
      <c r="AC57" s="50"/>
      <c r="AD57" s="50"/>
      <c r="AE57" s="50"/>
      <c r="AF57" s="50"/>
      <c r="AG57" s="92" t="s">
        <v>45</v>
      </c>
      <c r="AH57" s="98" t="s">
        <v>1191</v>
      </c>
      <c r="AI57" s="47">
        <v>46006</v>
      </c>
      <c r="AJ57" s="47">
        <v>46017</v>
      </c>
      <c r="AK57" s="47">
        <v>46385</v>
      </c>
      <c r="AL57" s="156"/>
    </row>
    <row r="58" spans="1:39">
      <c r="AL58" s="157">
        <f>(COUNTIF(AL4:AL57,"OK")/(COUNTBLANK(AL4:AL57)+(COUNTA(AL4:AL57)-(COUNTIF(AL4:AL57,"N/A")))))</f>
        <v>0.20408163265306123</v>
      </c>
      <c r="AM58" s="114" t="s">
        <v>195</v>
      </c>
    </row>
    <row r="59" spans="1:39">
      <c r="AL59" s="156">
        <f>COUNTBLANK(AL4:AL57)+(COUNTA(AL4:AL57)-(COUNTIF(AL4:AL57,"N/A"))-(COUNTIF(AL4:AL57,"OK"))-(COUNTIF(AL4:AL57,"KO")))</f>
        <v>34</v>
      </c>
      <c r="AM59" s="13" t="s">
        <v>196</v>
      </c>
    </row>
    <row r="60" spans="1:39">
      <c r="AL60" s="156">
        <f>COUNTIF(AL4:AL57,"KO")</f>
        <v>5</v>
      </c>
      <c r="AM60" s="13" t="s">
        <v>3</v>
      </c>
    </row>
    <row r="61" spans="1:39">
      <c r="AL61" s="156">
        <f>COUNTIF(AL4:AL57,"OK")</f>
        <v>10</v>
      </c>
      <c r="AM61" s="13" t="s">
        <v>2</v>
      </c>
    </row>
    <row r="62" spans="1:39">
      <c r="AL62" s="156">
        <f>COUNTBLANK(AL4:AL57)+(COUNTA(AL4:AL57)-(COUNTIF(AL4:AL57,"N/A")))</f>
        <v>49</v>
      </c>
      <c r="AM62" s="13" t="s">
        <v>197</v>
      </c>
    </row>
  </sheetData>
  <autoFilter ref="A3:AL62" xr:uid="{7881B335-D838-41E8-B582-6A5BCF6E129C}"/>
  <mergeCells count="2">
    <mergeCell ref="A1:AF1"/>
    <mergeCell ref="AB2:AF2"/>
  </mergeCell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16B4-D354-4542-97AE-EA103C93B61D}">
  <dimension ref="A1:A5"/>
  <sheetViews>
    <sheetView workbookViewId="0"/>
  </sheetViews>
  <sheetFormatPr defaultColWidth="11.42578125" defaultRowHeight="15"/>
  <sheetData>
    <row r="1" spans="1:1">
      <c r="A1" t="s">
        <v>1293</v>
      </c>
    </row>
    <row r="2" spans="1:1">
      <c r="A2" t="s">
        <v>2</v>
      </c>
    </row>
    <row r="3" spans="1:1">
      <c r="A3" t="s">
        <v>3</v>
      </c>
    </row>
    <row r="4" spans="1:1">
      <c r="A4" t="s">
        <v>1294</v>
      </c>
    </row>
    <row r="5" spans="1:1">
      <c r="A5"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95F9A608A04504580F330749E86436A" ma:contentTypeVersion="6" ma:contentTypeDescription="Crear nuevo documento." ma:contentTypeScope="" ma:versionID="4db7e3afb46d30ce6273997322801ad8">
  <xsd:schema xmlns:xsd="http://www.w3.org/2001/XMLSchema" xmlns:xs="http://www.w3.org/2001/XMLSchema" xmlns:p="http://schemas.microsoft.com/office/2006/metadata/properties" xmlns:ns2="34e526da-f8cf-4141-8dfa-81a5d34b10cb" xmlns:ns3="5edeabd1-35de-4e42-bbbc-b67d73510732" targetNamespace="http://schemas.microsoft.com/office/2006/metadata/properties" ma:root="true" ma:fieldsID="9a2243a52f96647188be75d700e30a79" ns2:_="" ns3:_="">
    <xsd:import namespace="34e526da-f8cf-4141-8dfa-81a5d34b10cb"/>
    <xsd:import namespace="5edeabd1-35de-4e42-bbbc-b67d7351073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e526da-f8cf-4141-8dfa-81a5d34b1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deabd1-35de-4e42-bbbc-b67d73510732"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8D16476-259D-41C3-B259-D27989BEC58B}"/>
</file>

<file path=customXml/itemProps2.xml><?xml version="1.0" encoding="utf-8"?>
<ds:datastoreItem xmlns:ds="http://schemas.openxmlformats.org/officeDocument/2006/customXml" ds:itemID="{E926AF75-B182-4795-8491-17E56D8675AC}"/>
</file>

<file path=customXml/itemProps3.xml><?xml version="1.0" encoding="utf-8"?>
<ds:datastoreItem xmlns:ds="http://schemas.openxmlformats.org/officeDocument/2006/customXml" ds:itemID="{E613DC68-2215-47B6-A21D-A23B79B0FA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Lorente</dc:creator>
  <cp:keywords/>
  <dc:description/>
  <cp:lastModifiedBy>ARCE DOMINGUEZ, YOLANDA</cp:lastModifiedBy>
  <cp:revision/>
  <dcterms:created xsi:type="dcterms:W3CDTF">2022-12-14T15:59:32Z</dcterms:created>
  <dcterms:modified xsi:type="dcterms:W3CDTF">2026-01-08T17:23:22Z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0x010100A95F9A608A04504580F330749E86436A</vt:lpwstr>
  </property>
  <property fmtid="{D5CDD505-2E9C-101B-9397-08002B2CF9AE}" pid="3" name="MSIP_Label_04fdb0a8-4a6b-4f00-936d-33796aec780e_Enabled">
    <vt:lpwstr>true</vt:lpwstr>
  </property>
  <property fmtid="{D5CDD505-2E9C-101B-9397-08002B2CF9AE}" pid="4" name="MSIP_Label_04fdb0a8-4a6b-4f00-936d-33796aec780e_SetDate">
    <vt:lpwstr>2025-12-11T08:25:10Z</vt:lpwstr>
  </property>
  <property fmtid="{D5CDD505-2E9C-101B-9397-08002B2CF9AE}" pid="5" name="MSIP_Label_04fdb0a8-4a6b-4f00-936d-33796aec780e_Method">
    <vt:lpwstr>Standard</vt:lpwstr>
  </property>
  <property fmtid="{D5CDD505-2E9C-101B-9397-08002B2CF9AE}" pid="6" name="MSIP_Label_04fdb0a8-4a6b-4f00-936d-33796aec780e_Name">
    <vt:lpwstr>Interna</vt:lpwstr>
  </property>
  <property fmtid="{D5CDD505-2E9C-101B-9397-08002B2CF9AE}" pid="7" name="MSIP_Label_04fdb0a8-4a6b-4f00-936d-33796aec780e_SiteId">
    <vt:lpwstr>4671ebb9-5444-457d-a9ef-c8888adaf03b</vt:lpwstr>
  </property>
  <property fmtid="{D5CDD505-2E9C-101B-9397-08002B2CF9AE}" pid="8" name="MSIP_Label_04fdb0a8-4a6b-4f00-936d-33796aec780e_ActionId">
    <vt:lpwstr>4f422883-39d6-40db-a030-073de904ebb4</vt:lpwstr>
  </property>
  <property fmtid="{D5CDD505-2E9C-101B-9397-08002B2CF9AE}" pid="9" name="MSIP_Label_04fdb0a8-4a6b-4f00-936d-33796aec780e_ContentBits">
    <vt:lpwstr>0</vt:lpwstr>
  </property>
  <property fmtid="{D5CDD505-2E9C-101B-9397-08002B2CF9AE}" pid="10" name="MSIP_Label_04fdb0a8-4a6b-4f00-936d-33796aec780e_Tag">
    <vt:lpwstr>10, 3, 0, 1</vt:lpwstr>
  </property>
</Properties>
</file>